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xr:revisionPtr revIDLastSave="0" documentId="8_{9D6781D4-54B8-441F-A723-EDB3B92E4F2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025" sheetId="2" r:id="rId1"/>
    <sheet name="2024" sheetId="3" r:id="rId2"/>
    <sheet name="2023" sheetId="4" r:id="rId3"/>
    <sheet name="2020-2022" sheetId="5" r:id="rId4"/>
    <sheet name="2020" sheetId="6" r:id="rId5"/>
    <sheet name="2019" sheetId="7" r:id="rId6"/>
    <sheet name="2018" sheetId="8" r:id="rId7"/>
    <sheet name="Trips " sheetId="9" r:id="rId8"/>
    <sheet name=" GOALS" sheetId="10" r:id="rId9"/>
  </sheets>
  <definedNames>
    <definedName name="Z_BABFE4BE_0059_45E6_A31A_F8C0A1E5D0D9_.wvu.FilterData" localSheetId="5" hidden="1">'2019'!$S$35:$W$61</definedName>
  </definedNames>
  <calcPr calcId="191028"/>
  <customWorkbookViews>
    <customWorkbookView name="Date" guid="{BABFE4BE-0059-45E6-A31A-F8C0A1E5D0D9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6" l="1"/>
  <c r="D9" i="6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X68" i="5"/>
  <c r="X75" i="5" s="1"/>
  <c r="W68" i="5"/>
  <c r="W75" i="5" s="1"/>
  <c r="V68" i="5"/>
  <c r="V75" i="5" s="1"/>
  <c r="U68" i="5"/>
  <c r="U75" i="5" s="1"/>
  <c r="T68" i="5"/>
  <c r="T75" i="5" s="1"/>
  <c r="S68" i="5"/>
  <c r="S75" i="5" s="1"/>
  <c r="R68" i="5"/>
  <c r="R75" i="5" s="1"/>
  <c r="Q68" i="5"/>
  <c r="Q75" i="5" s="1"/>
  <c r="P68" i="5"/>
  <c r="P75" i="5" s="1"/>
  <c r="O68" i="5"/>
  <c r="O75" i="5" s="1"/>
  <c r="N68" i="5"/>
  <c r="N75" i="5" s="1"/>
  <c r="M68" i="5"/>
  <c r="M75" i="5" s="1"/>
  <c r="L68" i="5"/>
  <c r="L75" i="5" s="1"/>
  <c r="K68" i="5"/>
  <c r="K75" i="5" s="1"/>
  <c r="J68" i="5"/>
  <c r="J75" i="5" s="1"/>
  <c r="I68" i="5"/>
  <c r="I75" i="5" s="1"/>
  <c r="H68" i="5"/>
  <c r="H75" i="5" s="1"/>
  <c r="G68" i="5"/>
  <c r="G75" i="5" s="1"/>
  <c r="F68" i="5"/>
  <c r="F75" i="5" s="1"/>
  <c r="E68" i="5"/>
  <c r="E75" i="5" s="1"/>
  <c r="D68" i="5"/>
  <c r="D75" i="5" s="1"/>
  <c r="D46" i="5"/>
  <c r="C46" i="5"/>
  <c r="E46" i="5" s="1"/>
  <c r="F46" i="5" s="1"/>
  <c r="E45" i="5"/>
  <c r="F45" i="5" s="1"/>
  <c r="E44" i="5"/>
  <c r="F44" i="5" s="1"/>
  <c r="E43" i="5"/>
  <c r="F43" i="5" s="1"/>
  <c r="E42" i="5"/>
  <c r="F42" i="5" s="1"/>
  <c r="D40" i="5"/>
  <c r="C40" i="5"/>
  <c r="C47" i="5" s="1"/>
  <c r="E39" i="5"/>
  <c r="F39" i="5" s="1"/>
  <c r="E38" i="5"/>
  <c r="E36" i="5"/>
  <c r="F36" i="5" s="1"/>
  <c r="E35" i="5"/>
  <c r="F35" i="5" s="1"/>
  <c r="E34" i="5"/>
  <c r="F34" i="5" s="1"/>
  <c r="E33" i="5"/>
  <c r="F33" i="5" s="1"/>
  <c r="E32" i="5"/>
  <c r="F32" i="5" s="1"/>
  <c r="E31" i="5"/>
  <c r="F31" i="5" s="1"/>
  <c r="E29" i="5"/>
  <c r="F29" i="5" s="1"/>
  <c r="E28" i="5"/>
  <c r="E27" i="5"/>
  <c r="F27" i="5" s="1"/>
  <c r="E26" i="5"/>
  <c r="F26" i="5" s="1"/>
  <c r="E25" i="5"/>
  <c r="F25" i="5" s="1"/>
  <c r="D19" i="5"/>
  <c r="D5" i="5"/>
  <c r="D20" i="5" s="1"/>
  <c r="H70" i="4"/>
  <c r="G70" i="4"/>
  <c r="F70" i="4"/>
  <c r="E70" i="4"/>
  <c r="C70" i="4"/>
  <c r="B70" i="4"/>
  <c r="H63" i="4"/>
  <c r="H71" i="4" s="1"/>
  <c r="G63" i="4"/>
  <c r="G71" i="4" s="1"/>
  <c r="F63" i="4"/>
  <c r="F71" i="4" s="1"/>
  <c r="E63" i="4"/>
  <c r="E71" i="4" s="1"/>
  <c r="C63" i="4"/>
  <c r="C71" i="4" s="1"/>
  <c r="B63" i="4"/>
  <c r="B71" i="4" s="1"/>
  <c r="C42" i="4"/>
  <c r="B42" i="4"/>
  <c r="D42" i="4" s="1"/>
  <c r="E42" i="4" s="1"/>
  <c r="D41" i="4"/>
  <c r="E41" i="4" s="1"/>
  <c r="D39" i="4"/>
  <c r="E39" i="4" s="1"/>
  <c r="D38" i="4"/>
  <c r="E38" i="4" s="1"/>
  <c r="D37" i="4"/>
  <c r="E37" i="4" s="1"/>
  <c r="C35" i="4"/>
  <c r="B35" i="4"/>
  <c r="B43" i="4" s="1"/>
  <c r="D34" i="4"/>
  <c r="E34" i="4" s="1"/>
  <c r="D32" i="4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4" i="4"/>
  <c r="E24" i="4" s="1"/>
  <c r="D23" i="4"/>
  <c r="D22" i="4"/>
  <c r="E22" i="4" s="1"/>
  <c r="D21" i="4"/>
  <c r="E21" i="4" s="1"/>
  <c r="D20" i="4"/>
  <c r="E20" i="4" s="1"/>
  <c r="B12" i="4"/>
  <c r="F7" i="4"/>
  <c r="F6" i="4"/>
  <c r="D123" i="3"/>
  <c r="F123" i="3" s="1"/>
  <c r="C123" i="3"/>
  <c r="B123" i="3"/>
  <c r="E123" i="3" s="1"/>
  <c r="F122" i="3"/>
  <c r="E122" i="3"/>
  <c r="F121" i="3"/>
  <c r="E121" i="3"/>
  <c r="F120" i="3"/>
  <c r="E120" i="3"/>
  <c r="F119" i="3"/>
  <c r="F118" i="3"/>
  <c r="E118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102" i="3" s="1"/>
  <c r="H61" i="3"/>
  <c r="F61" i="3"/>
  <c r="E61" i="3"/>
  <c r="D61" i="3"/>
  <c r="C61" i="3"/>
  <c r="B61" i="3"/>
  <c r="H56" i="3"/>
  <c r="H62" i="3" s="1"/>
  <c r="G56" i="3"/>
  <c r="G62" i="3" s="1"/>
  <c r="F56" i="3"/>
  <c r="F62" i="3" s="1"/>
  <c r="E56" i="3"/>
  <c r="E62" i="3" s="1"/>
  <c r="C56" i="3"/>
  <c r="C62" i="3" s="1"/>
  <c r="B56" i="3"/>
  <c r="B62" i="3" s="1"/>
  <c r="D50" i="3"/>
  <c r="D56" i="3" s="1"/>
  <c r="D62" i="3" s="1"/>
  <c r="C37" i="3"/>
  <c r="B37" i="3"/>
  <c r="D37" i="3" s="1"/>
  <c r="E37" i="3" s="1"/>
  <c r="D36" i="3"/>
  <c r="E36" i="3" s="1"/>
  <c r="D35" i="3"/>
  <c r="D34" i="3"/>
  <c r="E34" i="3" s="1"/>
  <c r="C32" i="3"/>
  <c r="B32" i="3"/>
  <c r="B38" i="3" s="1"/>
  <c r="D31" i="3"/>
  <c r="E31" i="3" s="1"/>
  <c r="D30" i="3"/>
  <c r="F29" i="3"/>
  <c r="E29" i="3"/>
  <c r="D29" i="3"/>
  <c r="E28" i="3"/>
  <c r="D28" i="3"/>
  <c r="E27" i="3"/>
  <c r="D27" i="3"/>
  <c r="E26" i="3"/>
  <c r="E25" i="3"/>
  <c r="D25" i="3"/>
  <c r="E24" i="3"/>
  <c r="E23" i="3"/>
  <c r="D23" i="3"/>
  <c r="D22" i="3"/>
  <c r="D21" i="3"/>
  <c r="E21" i="3" s="1"/>
  <c r="E20" i="3"/>
  <c r="D20" i="3"/>
  <c r="D19" i="3"/>
  <c r="E19" i="3" s="1"/>
  <c r="B11" i="3"/>
  <c r="F7" i="3"/>
  <c r="F6" i="3"/>
  <c r="B59" i="2"/>
  <c r="B54" i="2"/>
  <c r="B60" i="2" s="1"/>
  <c r="C36" i="2"/>
  <c r="B36" i="2"/>
  <c r="D36" i="2" s="1"/>
  <c r="E36" i="2" s="1"/>
  <c r="D35" i="2"/>
  <c r="E35" i="2" s="1"/>
  <c r="D34" i="2"/>
  <c r="D33" i="2"/>
  <c r="E33" i="2" s="1"/>
  <c r="B31" i="2"/>
  <c r="B37" i="2" s="1"/>
  <c r="D30" i="2"/>
  <c r="E30" i="2" s="1"/>
  <c r="D29" i="2"/>
  <c r="E28" i="2"/>
  <c r="D28" i="2"/>
  <c r="E27" i="2"/>
  <c r="D27" i="2"/>
  <c r="E26" i="2"/>
  <c r="D26" i="2"/>
  <c r="C25" i="2"/>
  <c r="E24" i="2"/>
  <c r="D24" i="2"/>
  <c r="E23" i="2"/>
  <c r="D22" i="2"/>
  <c r="D21" i="2"/>
  <c r="E21" i="2" s="1"/>
  <c r="E20" i="2"/>
  <c r="D20" i="2"/>
  <c r="D19" i="2"/>
  <c r="E19" i="2" s="1"/>
  <c r="B9" i="2"/>
  <c r="B12" i="2" s="1"/>
  <c r="C31" i="2" l="1"/>
  <c r="E25" i="2"/>
  <c r="C38" i="3"/>
  <c r="D38" i="3" s="1"/>
  <c r="E38" i="3" s="1"/>
  <c r="D32" i="3"/>
  <c r="E32" i="3" s="1"/>
  <c r="D24" i="3" s="1"/>
  <c r="C43" i="4"/>
  <c r="D43" i="4" s="1"/>
  <c r="E43" i="4" s="1"/>
  <c r="D35" i="4"/>
  <c r="E35" i="4" s="1"/>
  <c r="D25" i="4" s="1"/>
  <c r="E25" i="4" s="1"/>
  <c r="D47" i="5"/>
  <c r="E47" i="5" s="1"/>
  <c r="F47" i="5" s="1"/>
  <c r="E40" i="5"/>
  <c r="F40" i="5" s="1"/>
  <c r="E30" i="5" s="1"/>
  <c r="F30" i="5" s="1"/>
  <c r="C37" i="2" l="1"/>
  <c r="D37" i="2" s="1"/>
  <c r="E37" i="2" s="1"/>
  <c r="D31" i="2"/>
  <c r="E31" i="2" s="1"/>
  <c r="D23" i="2" s="1"/>
</calcChain>
</file>

<file path=xl/sharedStrings.xml><?xml version="1.0" encoding="utf-8"?>
<sst xmlns="http://schemas.openxmlformats.org/spreadsheetml/2006/main" count="1009" uniqueCount="424">
  <si>
    <t xml:space="preserve">        2025 GOAL: NEW HOUSE, BABY STRAWBERRY, NEW JOBS, NO DEBT, MORE INVESTMENTS</t>
  </si>
  <si>
    <t>Amount</t>
  </si>
  <si>
    <t>Status</t>
  </si>
  <si>
    <t>Pay off land</t>
  </si>
  <si>
    <t>New house Downpayment</t>
  </si>
  <si>
    <t>Save 10k for Enzi</t>
  </si>
  <si>
    <t>Enzi daycare</t>
  </si>
  <si>
    <t>complete</t>
  </si>
  <si>
    <t>Strawberry/Chocolate</t>
  </si>
  <si>
    <t>Invest in market</t>
  </si>
  <si>
    <t>Total</t>
  </si>
  <si>
    <t>NET WORTH</t>
  </si>
  <si>
    <t>Accounts</t>
  </si>
  <si>
    <t>Beginning Value 05/20</t>
  </si>
  <si>
    <t>Current Value</t>
  </si>
  <si>
    <t>Gain/Loss</t>
  </si>
  <si>
    <t>% Difference</t>
  </si>
  <si>
    <t>LINDA</t>
  </si>
  <si>
    <t>ABIOLA</t>
  </si>
  <si>
    <t>Assets</t>
  </si>
  <si>
    <t>401K</t>
  </si>
  <si>
    <t>House</t>
  </si>
  <si>
    <t>Savings</t>
  </si>
  <si>
    <t>Emergency Fund</t>
  </si>
  <si>
    <t>SeedInvest &amp; StartEngine</t>
  </si>
  <si>
    <t>Bitcoin (Blue Wallet)</t>
  </si>
  <si>
    <t>fantom wallet</t>
  </si>
  <si>
    <t>solana</t>
  </si>
  <si>
    <t>RABI +hyperliquid</t>
  </si>
  <si>
    <t>Coinbase</t>
  </si>
  <si>
    <t>Crypto (Altcoins/NFTs)</t>
  </si>
  <si>
    <t>RobinHood Investments</t>
  </si>
  <si>
    <t>majic eden</t>
  </si>
  <si>
    <t>Fidelity Investments</t>
  </si>
  <si>
    <t>Tesla</t>
  </si>
  <si>
    <t>Fidelity</t>
  </si>
  <si>
    <t>TechBrov</t>
  </si>
  <si>
    <t>-%</t>
  </si>
  <si>
    <t>Linda Robin</t>
  </si>
  <si>
    <t>Abiola</t>
  </si>
  <si>
    <t>Land (purchased 7/1/21)</t>
  </si>
  <si>
    <t xml:space="preserve"> Total Assets</t>
  </si>
  <si>
    <t>Liabilities</t>
  </si>
  <si>
    <t>Beginning Balance</t>
  </si>
  <si>
    <t>Current Balance</t>
  </si>
  <si>
    <t>Increase/Decrease</t>
  </si>
  <si>
    <t>Mortgage</t>
  </si>
  <si>
    <t>Credit Card</t>
  </si>
  <si>
    <t>Total Liabilities</t>
  </si>
  <si>
    <t>TOTAL NET WORTH            ($1 Million Goal)</t>
  </si>
  <si>
    <t>January/Feb</t>
  </si>
  <si>
    <t>March-May</t>
  </si>
  <si>
    <t>June</t>
  </si>
  <si>
    <t>July</t>
  </si>
  <si>
    <t>Aug/Sept</t>
  </si>
  <si>
    <t>Oct/Nov</t>
  </si>
  <si>
    <t>Dec</t>
  </si>
  <si>
    <t>Emergency Fund Savings</t>
  </si>
  <si>
    <t>Crypto (Bitcoin)</t>
  </si>
  <si>
    <t>WeBull/Fidelity Investments</t>
  </si>
  <si>
    <t xml:space="preserve">Land </t>
  </si>
  <si>
    <t>TOTAL NET WORTH            ($100 Million Goal)</t>
  </si>
  <si>
    <t>KIDS NETWORTH</t>
  </si>
  <si>
    <t>Jan/Feb</t>
  </si>
  <si>
    <t>Aug</t>
  </si>
  <si>
    <t>Sept</t>
  </si>
  <si>
    <t>October</t>
  </si>
  <si>
    <t>Enzi- Fidelity</t>
  </si>
  <si>
    <t>Tolani- Fidelity</t>
  </si>
  <si>
    <t>-</t>
  </si>
  <si>
    <t>Born</t>
  </si>
  <si>
    <t>Financial Plan ~ Next 30 Years</t>
  </si>
  <si>
    <t>Categories</t>
  </si>
  <si>
    <t>Budgeting &amp; Savings</t>
  </si>
  <si>
    <t>Retirement Planning</t>
  </si>
  <si>
    <t>Estate Planning</t>
  </si>
  <si>
    <t>Tax Planning</t>
  </si>
  <si>
    <t>2023 GOAL: PAY OFF DEBTS, REDUCE MORTGAGE, TRAVEL, SAVE 100K</t>
  </si>
  <si>
    <t>status</t>
  </si>
  <si>
    <t>Enzi Daycare</t>
  </si>
  <si>
    <t>Pay off Car</t>
  </si>
  <si>
    <t>complete 02/22</t>
  </si>
  <si>
    <t>Land</t>
  </si>
  <si>
    <t xml:space="preserve">Save $100K </t>
  </si>
  <si>
    <t>TOTAL</t>
  </si>
  <si>
    <t>CVS Employee Stock Plan</t>
  </si>
  <si>
    <t>eth-RABI +rabi 2</t>
  </si>
  <si>
    <t>hyperliquid</t>
  </si>
  <si>
    <t>Abio</t>
  </si>
  <si>
    <t>March</t>
  </si>
  <si>
    <t>April/May</t>
  </si>
  <si>
    <t>June/July</t>
  </si>
  <si>
    <t>Etrade</t>
  </si>
  <si>
    <t>ENZI'S NETWORTH</t>
  </si>
  <si>
    <t>May</t>
  </si>
  <si>
    <t>Sep</t>
  </si>
  <si>
    <t>Oct</t>
  </si>
  <si>
    <t>Nov</t>
  </si>
  <si>
    <t>Bills 2024</t>
  </si>
  <si>
    <t>Daycare</t>
  </si>
  <si>
    <t>Taxes Due December</t>
  </si>
  <si>
    <t>Mortgage 2024</t>
  </si>
  <si>
    <t>Enzi Day Care 2024</t>
  </si>
  <si>
    <t>House expenses</t>
  </si>
  <si>
    <t>Taxes Due April</t>
  </si>
  <si>
    <t>Travel</t>
  </si>
  <si>
    <t>Tithe</t>
  </si>
  <si>
    <t>Investing</t>
  </si>
  <si>
    <t>Bills</t>
  </si>
  <si>
    <t xml:space="preserve">Due Date </t>
  </si>
  <si>
    <t>Account</t>
  </si>
  <si>
    <t>Rent</t>
  </si>
  <si>
    <t>15th</t>
  </si>
  <si>
    <t>Household</t>
  </si>
  <si>
    <t>Enzi Tuition</t>
  </si>
  <si>
    <t>1st</t>
  </si>
  <si>
    <t>Electricity (pedernales)</t>
  </si>
  <si>
    <t>17th</t>
  </si>
  <si>
    <t>checking</t>
  </si>
  <si>
    <t>Gas (atmos energy)</t>
  </si>
  <si>
    <t>24th</t>
  </si>
  <si>
    <t>Water (city of leander)</t>
  </si>
  <si>
    <t>20th</t>
  </si>
  <si>
    <t>Grass</t>
  </si>
  <si>
    <t>Weed grass control - Real Green</t>
  </si>
  <si>
    <t>credit card</t>
  </si>
  <si>
    <t>Phone (spectrum)</t>
  </si>
  <si>
    <t>3rd</t>
  </si>
  <si>
    <t>Internet (AT&amp;T)</t>
  </si>
  <si>
    <t>Netflix</t>
  </si>
  <si>
    <t>CANCEL</t>
  </si>
  <si>
    <t>Sling</t>
  </si>
  <si>
    <t>Gym membership Abiola</t>
  </si>
  <si>
    <t>7th</t>
  </si>
  <si>
    <t>Ring doorbell</t>
  </si>
  <si>
    <t>Groceries</t>
  </si>
  <si>
    <t>Credit card</t>
  </si>
  <si>
    <t>Tesla insurance</t>
  </si>
  <si>
    <t>12th</t>
  </si>
  <si>
    <t>Car wash</t>
  </si>
  <si>
    <t>9th</t>
  </si>
  <si>
    <t>ChatGPT</t>
  </si>
  <si>
    <t>21st</t>
  </si>
  <si>
    <t>Other running bills</t>
  </si>
  <si>
    <t xml:space="preserve">HOA House </t>
  </si>
  <si>
    <t>joint</t>
  </si>
  <si>
    <t>HOA Land</t>
  </si>
  <si>
    <t>Home owners insurance</t>
  </si>
  <si>
    <t>House Taxes</t>
  </si>
  <si>
    <t>Land Taxes</t>
  </si>
  <si>
    <t>Federal Taxes</t>
  </si>
  <si>
    <t xml:space="preserve">Credit card yearly fees </t>
  </si>
  <si>
    <t>Toll road</t>
  </si>
  <si>
    <t>Pest Control</t>
  </si>
  <si>
    <t>Month</t>
  </si>
  <si>
    <t>2025 Total</t>
  </si>
  <si>
    <t>Enzi</t>
  </si>
  <si>
    <t>Utilities</t>
  </si>
  <si>
    <t>Add ons - Baby</t>
  </si>
  <si>
    <t>2024 GOAL: INCREASE INCOME, SAVE, INVEST &amp; PAY DEBTS</t>
  </si>
  <si>
    <t>BECOME MULTI MILLIONNAIRES!!</t>
  </si>
  <si>
    <t>2023 Goals</t>
  </si>
  <si>
    <t>pending</t>
  </si>
  <si>
    <t>Minimal Travel</t>
  </si>
  <si>
    <t>Pay 20% Mortgage</t>
  </si>
  <si>
    <t>Complete</t>
  </si>
  <si>
    <t>Save $100K for Money Market</t>
  </si>
  <si>
    <t>Pending</t>
  </si>
  <si>
    <t>Pay off Toyota</t>
  </si>
  <si>
    <t>Net Worth</t>
  </si>
  <si>
    <t>Emergency Fund/Enzi</t>
  </si>
  <si>
    <t>Bitcoin</t>
  </si>
  <si>
    <t>M1 Investments</t>
  </si>
  <si>
    <t>Rav 4</t>
  </si>
  <si>
    <t>Owed Taxes</t>
  </si>
  <si>
    <t>Toyota</t>
  </si>
  <si>
    <t>January</t>
  </si>
  <si>
    <t>April</t>
  </si>
  <si>
    <t>June-July</t>
  </si>
  <si>
    <t>Sept/Oct</t>
  </si>
  <si>
    <t>Nov/Dec</t>
  </si>
  <si>
    <t>Rav4</t>
  </si>
  <si>
    <t>Type</t>
  </si>
  <si>
    <t>Category</t>
  </si>
  <si>
    <t>Budget</t>
  </si>
  <si>
    <t>Actual</t>
  </si>
  <si>
    <t>% of Budget Income</t>
  </si>
  <si>
    <t>Over/Under</t>
  </si>
  <si>
    <t>Due Date</t>
  </si>
  <si>
    <t>Income</t>
  </si>
  <si>
    <t>Linda</t>
  </si>
  <si>
    <t>Total Income</t>
  </si>
  <si>
    <t>Normal Expenses</t>
  </si>
  <si>
    <t>10th</t>
  </si>
  <si>
    <t>HOA</t>
  </si>
  <si>
    <t>Water/Sewer/Trash</t>
  </si>
  <si>
    <t>19th</t>
  </si>
  <si>
    <t>Natural Gas</t>
  </si>
  <si>
    <t>Electric</t>
  </si>
  <si>
    <t>16th</t>
  </si>
  <si>
    <t>Internet</t>
  </si>
  <si>
    <t xml:space="preserve">  </t>
  </si>
  <si>
    <t>Phones</t>
  </si>
  <si>
    <t>8th</t>
  </si>
  <si>
    <t>Car Insurance</t>
  </si>
  <si>
    <t>5th</t>
  </si>
  <si>
    <t>Eating Out</t>
  </si>
  <si>
    <t>Left in Checking for Misc</t>
  </si>
  <si>
    <t>TOTAL OUT</t>
  </si>
  <si>
    <t>Emergency Fund Savings+Cap1</t>
  </si>
  <si>
    <t>Honda Fit</t>
  </si>
  <si>
    <t>September/October</t>
  </si>
  <si>
    <t>Sept 2021</t>
  </si>
  <si>
    <t>Jan/Feb 2022</t>
  </si>
  <si>
    <t>Oct-Dec</t>
  </si>
  <si>
    <t>Debt</t>
  </si>
  <si>
    <t>2020 GOAL: INCREASE INVESTMENT PORTFOLIO, TRAVEL, SAVE</t>
  </si>
  <si>
    <t>SAVINGS PLAN</t>
  </si>
  <si>
    <t>2020 Goals</t>
  </si>
  <si>
    <t>Year Goal: $200,000</t>
  </si>
  <si>
    <t>Date</t>
  </si>
  <si>
    <t>Purchase House</t>
  </si>
  <si>
    <t>DONE</t>
  </si>
  <si>
    <t>Save 100k</t>
  </si>
  <si>
    <t>Increase net worth to 300k</t>
  </si>
  <si>
    <t>Invest 75k in managed account</t>
  </si>
  <si>
    <t>Get pregnant</t>
  </si>
  <si>
    <t>Start a business</t>
  </si>
  <si>
    <t>Register/get license for home health</t>
  </si>
  <si>
    <t>DETAILED PLAN</t>
  </si>
  <si>
    <t>Payment</t>
  </si>
  <si>
    <t xml:space="preserve"> Type</t>
  </si>
  <si>
    <t>Notes</t>
  </si>
  <si>
    <t xml:space="preserve">Abiola IRA </t>
  </si>
  <si>
    <t>Abiola IRA</t>
  </si>
  <si>
    <t>Linda IRA</t>
  </si>
  <si>
    <t>Savings/Travel Fund</t>
  </si>
  <si>
    <t>Mutual Fund</t>
  </si>
  <si>
    <t xml:space="preserve"> </t>
  </si>
  <si>
    <t>company</t>
  </si>
  <si>
    <t>Dividends</t>
  </si>
  <si>
    <t>NRZ</t>
  </si>
  <si>
    <t>at&amp;t</t>
  </si>
  <si>
    <t>ibm</t>
  </si>
  <si>
    <t>general motors</t>
  </si>
  <si>
    <t>abbv</t>
  </si>
  <si>
    <t>ford</t>
  </si>
  <si>
    <t>iron mountain</t>
  </si>
  <si>
    <t>EVALUATE PROGRESS</t>
  </si>
  <si>
    <t>medical properties trust</t>
  </si>
  <si>
    <t>agnc</t>
  </si>
  <si>
    <t>prospect capital</t>
  </si>
  <si>
    <t>main street captial</t>
  </si>
  <si>
    <r>
      <rPr>
        <sz val="24"/>
        <color rgb="FFFFFFFF"/>
        <rFont val="Calibri"/>
      </rPr>
      <t xml:space="preserve">                                                                                                    2019 GOALS 
</t>
    </r>
    <r>
      <rPr>
        <sz val="18"/>
        <color rgb="FFFFFFFF"/>
        <rFont val="Calibri"/>
      </rPr>
      <t xml:space="preserve">                                                                                                                             1. PAY OFF STUDENT LOANS
                                                                                                                             2. PURCHASE HOUSE
                                                                                                                             3. SAVE 100K</t>
    </r>
  </si>
  <si>
    <t>Greatlakes Loan Debts 2019</t>
  </si>
  <si>
    <t>TOTAL: $58, 780</t>
  </si>
  <si>
    <t>GOALS</t>
  </si>
  <si>
    <t>Loan Amount</t>
  </si>
  <si>
    <t>Interest %</t>
  </si>
  <si>
    <t>Interest amount</t>
  </si>
  <si>
    <t>Loan Type</t>
  </si>
  <si>
    <t>Payoff Status</t>
  </si>
  <si>
    <t>Achieved to date</t>
  </si>
  <si>
    <t>326- Unsub</t>
  </si>
  <si>
    <t>PAID OFF!</t>
  </si>
  <si>
    <t>Student loans paid off</t>
  </si>
  <si>
    <t>GOAL MET</t>
  </si>
  <si>
    <t>322- Unsub</t>
  </si>
  <si>
    <t>324- Unsub</t>
  </si>
  <si>
    <t>Down Payment</t>
  </si>
  <si>
    <t>320- Unsub</t>
  </si>
  <si>
    <t>In Progress</t>
  </si>
  <si>
    <t>319- Sub</t>
  </si>
  <si>
    <t>325- Unsub</t>
  </si>
  <si>
    <t>329- Unsub</t>
  </si>
  <si>
    <t>333- Unsub</t>
  </si>
  <si>
    <t xml:space="preserve">SAVINGS PLAN </t>
  </si>
  <si>
    <t>321- Sub</t>
  </si>
  <si>
    <t>Year goal: $100000</t>
  </si>
  <si>
    <t>328- Unsub</t>
  </si>
  <si>
    <t>323- Sub</t>
  </si>
  <si>
    <t>327- Sub</t>
  </si>
  <si>
    <t>STUDENT LOAN DETAILED PAYMENT PLAN</t>
  </si>
  <si>
    <t>Principle</t>
  </si>
  <si>
    <t>Interest</t>
  </si>
  <si>
    <t>Balance</t>
  </si>
  <si>
    <t>PAID OFF</t>
  </si>
  <si>
    <t xml:space="preserve">                       2018 GOALS: PAY OFF WEDDING/CREDIT CARDS/CAR LOAN</t>
  </si>
  <si>
    <t xml:space="preserve">Credit </t>
  </si>
  <si>
    <t>Amount($)</t>
  </si>
  <si>
    <t>Rate(%)</t>
  </si>
  <si>
    <t>Monthly($)</t>
  </si>
  <si>
    <t>Due date</t>
  </si>
  <si>
    <t>Overall($)</t>
  </si>
  <si>
    <t>Payoff Date</t>
  </si>
  <si>
    <t>Paypal-LM</t>
  </si>
  <si>
    <t>14th</t>
  </si>
  <si>
    <t>Discover-LM</t>
  </si>
  <si>
    <t>2nd</t>
  </si>
  <si>
    <t>Bank Of America</t>
  </si>
  <si>
    <t>Paypal-AB</t>
  </si>
  <si>
    <t>Synchrony</t>
  </si>
  <si>
    <t>4th</t>
  </si>
  <si>
    <t>Consumer credit Union</t>
  </si>
  <si>
    <t>27th</t>
  </si>
  <si>
    <t>Discover-AB</t>
  </si>
  <si>
    <t>UFCU</t>
  </si>
  <si>
    <t>American Express</t>
  </si>
  <si>
    <t>18th</t>
  </si>
  <si>
    <t>Car-Honda Fit</t>
  </si>
  <si>
    <t>Bi weekly</t>
  </si>
  <si>
    <t>LM+AB Collections</t>
  </si>
  <si>
    <t>N/A</t>
  </si>
  <si>
    <t xml:space="preserve">Macy's </t>
  </si>
  <si>
    <t>Student Loans</t>
  </si>
  <si>
    <t>Great lakes</t>
  </si>
  <si>
    <t>Variable</t>
  </si>
  <si>
    <t>25th</t>
  </si>
  <si>
    <t>TBD - goal is 10/08/2019</t>
  </si>
  <si>
    <t>Plan 2018</t>
  </si>
  <si>
    <t>Card/Loan</t>
  </si>
  <si>
    <t>Estimated Bal</t>
  </si>
  <si>
    <t>BOA</t>
  </si>
  <si>
    <t>Discover - LM</t>
  </si>
  <si>
    <t>ConsumersCU</t>
  </si>
  <si>
    <t>Discover - AB</t>
  </si>
  <si>
    <t>Honda</t>
  </si>
  <si>
    <t>AMEX</t>
  </si>
  <si>
    <t>Collections</t>
  </si>
  <si>
    <t xml:space="preserve"> CREDIT CARDS + CAR + COLLECTIONS PAID OFF!!</t>
  </si>
  <si>
    <t>Verona Villa</t>
  </si>
  <si>
    <t>Macys</t>
  </si>
  <si>
    <t>Videographer</t>
  </si>
  <si>
    <t>DJ</t>
  </si>
  <si>
    <t xml:space="preserve"> Student loan interest</t>
  </si>
  <si>
    <t>Vacation</t>
  </si>
  <si>
    <t>SAVINGS PLAN 2018 ($10,000 goal- saved $15,000)</t>
  </si>
  <si>
    <t>YAY!</t>
  </si>
  <si>
    <t>Abiola Paycheck</t>
  </si>
  <si>
    <t>Linda Paycheck</t>
  </si>
  <si>
    <t>tithe</t>
  </si>
  <si>
    <t>bills</t>
  </si>
  <si>
    <t>loans</t>
  </si>
  <si>
    <t>self care</t>
  </si>
  <si>
    <t>car insurance</t>
  </si>
  <si>
    <t>savings</t>
  </si>
  <si>
    <t>Self-care</t>
  </si>
  <si>
    <t>Bills - Linda</t>
  </si>
  <si>
    <t>Name</t>
  </si>
  <si>
    <t>Frequency</t>
  </si>
  <si>
    <t>Monthly</t>
  </si>
  <si>
    <t>Student Loan</t>
  </si>
  <si>
    <t>Bills - Abiola</t>
  </si>
  <si>
    <t xml:space="preserve">Cell phone </t>
  </si>
  <si>
    <t>Electricity</t>
  </si>
  <si>
    <t>Invisalign</t>
  </si>
  <si>
    <t>2019 Upcoming Payments</t>
  </si>
  <si>
    <t>Harbor Grace</t>
  </si>
  <si>
    <t>MC</t>
  </si>
  <si>
    <t>Aso Ebi+</t>
  </si>
  <si>
    <t>T&amp;K Hospitality</t>
  </si>
  <si>
    <t>Wedding cake</t>
  </si>
  <si>
    <t>Royal Events Consulting</t>
  </si>
  <si>
    <t>Cocktail Drinks</t>
  </si>
  <si>
    <t>Misc(suits, shoes, invitation, makeup, hair, hotel)</t>
  </si>
  <si>
    <t>Decor</t>
  </si>
  <si>
    <t>DJ/stage</t>
  </si>
  <si>
    <t>2020 dream</t>
  </si>
  <si>
    <t>2019 Trips</t>
  </si>
  <si>
    <t>2020 Reality Trips</t>
  </si>
  <si>
    <t>Where</t>
  </si>
  <si>
    <t>Belize or Colombia</t>
  </si>
  <si>
    <t>Use Delta credit?</t>
  </si>
  <si>
    <t>New York City - Birthday trip</t>
  </si>
  <si>
    <t>Big Sur</t>
  </si>
  <si>
    <t>February</t>
  </si>
  <si>
    <t>Cabo, Mexico (Linda)</t>
  </si>
  <si>
    <t>Las Vegas</t>
  </si>
  <si>
    <t>Los Angeles -bachelor trip (Abiola)</t>
  </si>
  <si>
    <t>London/Scotland/Ireland</t>
  </si>
  <si>
    <t>2 weeks</t>
  </si>
  <si>
    <t>Turks and Caicos Honeymoon</t>
  </si>
  <si>
    <t>Nigeria</t>
  </si>
  <si>
    <t>August</t>
  </si>
  <si>
    <t>Napa Valley- St.Johns Island</t>
  </si>
  <si>
    <t>Honeymoon</t>
  </si>
  <si>
    <t>Costa Rica</t>
  </si>
  <si>
    <t>California</t>
  </si>
  <si>
    <t>September</t>
  </si>
  <si>
    <t xml:space="preserve">Iceland </t>
  </si>
  <si>
    <t>Orlando</t>
  </si>
  <si>
    <t>North Carolina</t>
  </si>
  <si>
    <t>November</t>
  </si>
  <si>
    <t>A US National Park</t>
  </si>
  <si>
    <t>Denver</t>
  </si>
  <si>
    <t>December</t>
  </si>
  <si>
    <t>Zambia/Nigeria</t>
  </si>
  <si>
    <r>
      <rPr>
        <sz val="24"/>
        <color rgb="FFFFFFFF"/>
        <rFont val="Calibri"/>
      </rPr>
      <t>2022 GOALS:</t>
    </r>
    <r>
      <rPr>
        <sz val="18"/>
        <color rgb="FFFFFFFF"/>
        <rFont val="Calibri"/>
      </rPr>
      <t xml:space="preserve"> BECOME MILLIONAIRES, GET PREGNANT, BUY FIRST INVESTMENT PROPERTY, SAVE 150K, STAY DEBT FREE</t>
    </r>
  </si>
  <si>
    <t>2021-2022 Goals</t>
  </si>
  <si>
    <t>Increase networth to 1 million</t>
  </si>
  <si>
    <t>Year Goal: $150,000</t>
  </si>
  <si>
    <t>Save 150k</t>
  </si>
  <si>
    <t>Met - Feb 17th 2022</t>
  </si>
  <si>
    <t>Starting Balance CIT</t>
  </si>
  <si>
    <t>MET</t>
  </si>
  <si>
    <t>Buy first investment property</t>
  </si>
  <si>
    <t>Met - July 1st 2021</t>
  </si>
  <si>
    <t>12000  taxes met- mortgage due</t>
  </si>
  <si>
    <t>Pay off mortgage</t>
  </si>
  <si>
    <t>pay 1000 debt</t>
  </si>
  <si>
    <t>Be debt free</t>
  </si>
  <si>
    <t>9000 land dp met- mortgage due</t>
  </si>
  <si>
    <t>Invest 500K in market</t>
  </si>
  <si>
    <t>Open HSA account - contribute at least $500</t>
  </si>
  <si>
    <t>Met - April 2022</t>
  </si>
  <si>
    <t>mortgage due</t>
  </si>
  <si>
    <t>Open Roth IRA- Max 2021 contribution</t>
  </si>
  <si>
    <t>Walk 1 mile everyday or workout</t>
  </si>
  <si>
    <t>Read 12 books each</t>
  </si>
  <si>
    <t>Tithe 10% of income</t>
  </si>
  <si>
    <t>Start a foundation - Techbrov Foundation</t>
  </si>
  <si>
    <t>Increase IG followers/podcast listeners/subscribers to 10k</t>
  </si>
  <si>
    <t>Tithe 10% in Jesus name</t>
  </si>
  <si>
    <t>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</si>
</sst>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  <numFmt numFmtId="166" formatCode="mmm\ d"/>
    <numFmt numFmtId="167" formatCode="mmmm\ d"/>
    <numFmt numFmtId="168" formatCode="mmmm\ yyyy"/>
    <numFmt numFmtId="169" formatCode="mmm\ yyyy"/>
    <numFmt numFmtId="170" formatCode="m&quot;/&quot;d&quot;/&quot;yy"/>
    <numFmt numFmtId="171" formatCode="&quot;$&quot;#,##0.00"/>
    <numFmt numFmtId="172" formatCode="mm/dd/yyyy"/>
    <numFmt numFmtId="173" formatCode="m/d/yy"/>
  </numFmts>
  <fonts count="25">
    <font>
      <sz val="11"/>
      <color rgb="FF595959"/>
      <name val="Arial"/>
    </font>
    <font>
      <sz val="24"/>
      <color rgb="FFFFFFFF"/>
      <name val="Calibri"/>
    </font>
    <font>
      <sz val="11"/>
      <name val="Arial"/>
    </font>
    <font>
      <sz val="11"/>
      <color rgb="FF000000"/>
      <name val="Arial"/>
    </font>
    <font>
      <b/>
      <sz val="11"/>
      <name val="Arial"/>
    </font>
    <font>
      <b/>
      <sz val="11"/>
      <color rgb="FF000000"/>
      <name val="Arial"/>
    </font>
    <font>
      <b/>
      <i/>
      <sz val="11"/>
      <color rgb="FF000000"/>
      <name val="Arial"/>
    </font>
    <font>
      <b/>
      <sz val="11"/>
      <color rgb="FFFF0000"/>
      <name val="Arial"/>
    </font>
    <font>
      <sz val="11"/>
      <color rgb="FFFF0000"/>
      <name val="Arial"/>
    </font>
    <font>
      <b/>
      <sz val="11"/>
      <color rgb="FFFFFFFF"/>
      <name val="Arial"/>
    </font>
    <font>
      <sz val="11"/>
      <color rgb="FFFFFFFF"/>
      <name val="Arial"/>
    </font>
    <font>
      <i/>
      <sz val="11"/>
      <color rgb="FFFFFFFF"/>
      <name val="Arial"/>
    </font>
    <font>
      <b/>
      <sz val="12"/>
      <color rgb="FFFF0000"/>
      <name val="Calibri"/>
    </font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FF0000"/>
      <name val="Calibri"/>
    </font>
    <font>
      <b/>
      <sz val="11"/>
      <color rgb="FF000000"/>
      <name val="Calibri"/>
    </font>
    <font>
      <sz val="11"/>
      <color rgb="FF595959"/>
      <name val="Calibri"/>
    </font>
    <font>
      <b/>
      <sz val="11"/>
      <color rgb="FFFF0000"/>
      <name val="Roboto"/>
    </font>
    <font>
      <b/>
      <sz val="11"/>
      <color rgb="FF00B050"/>
      <name val="Calibri"/>
    </font>
    <font>
      <sz val="12"/>
      <color rgb="FF000000"/>
      <name val="Calibri"/>
    </font>
    <font>
      <b/>
      <sz val="18"/>
      <color rgb="FF000000"/>
      <name val="Calibri"/>
    </font>
    <font>
      <b/>
      <sz val="11"/>
      <color rgb="FF595959"/>
      <name val="Calibri"/>
    </font>
    <font>
      <sz val="18"/>
      <color rgb="FFFFFFFF"/>
      <name val="Calibri"/>
    </font>
    <font>
      <i/>
      <sz val="11"/>
      <color rgb="FF000000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FAFAFA"/>
        <bgColor rgb="FFFAFAFA"/>
      </patternFill>
    </fill>
    <fill>
      <patternFill patternType="solid">
        <fgColor rgb="FF134F5C"/>
        <bgColor rgb="FF134F5C"/>
      </patternFill>
    </fill>
    <fill>
      <patternFill patternType="solid">
        <fgColor rgb="FFB6D7A8"/>
        <bgColor rgb="FFB6D7A8"/>
      </patternFill>
    </fill>
    <fill>
      <patternFill patternType="solid">
        <fgColor rgb="FF00B050"/>
        <bgColor rgb="FF00B050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27">
    <xf numFmtId="0" fontId="0" fillId="0" borderId="0" xfId="0" applyFont="1" applyAlignment="1"/>
    <xf numFmtId="0" fontId="3" fillId="4" borderId="0" xfId="0" applyFont="1" applyFill="1" applyAlignment="1">
      <alignment horizontal="center"/>
    </xf>
    <xf numFmtId="0" fontId="2" fillId="5" borderId="0" xfId="0" applyFont="1" applyFill="1" applyAlignment="1"/>
    <xf numFmtId="0" fontId="4" fillId="0" borderId="9" xfId="0" applyFont="1" applyBorder="1" applyAlignment="1"/>
    <xf numFmtId="164" fontId="2" fillId="0" borderId="10" xfId="0" applyNumberFormat="1" applyFont="1" applyBorder="1" applyAlignment="1"/>
    <xf numFmtId="0" fontId="4" fillId="0" borderId="11" xfId="0" applyFont="1" applyBorder="1" applyAlignment="1"/>
    <xf numFmtId="164" fontId="2" fillId="0" borderId="12" xfId="0" applyNumberFormat="1" applyFont="1" applyBorder="1" applyAlignment="1"/>
    <xf numFmtId="0" fontId="2" fillId="0" borderId="0" xfId="0" applyFont="1" applyAlignment="1"/>
    <xf numFmtId="0" fontId="4" fillId="0" borderId="13" xfId="0" applyFont="1" applyBorder="1" applyAlignment="1"/>
    <xf numFmtId="164" fontId="2" fillId="0" borderId="14" xfId="0" applyNumberFormat="1" applyFont="1" applyBorder="1" applyAlignment="1"/>
    <xf numFmtId="164" fontId="2" fillId="0" borderId="0" xfId="0" applyNumberFormat="1" applyFont="1"/>
    <xf numFmtId="0" fontId="5" fillId="0" borderId="0" xfId="0" applyFont="1" applyAlignment="1"/>
    <xf numFmtId="165" fontId="2" fillId="0" borderId="0" xfId="0" applyNumberFormat="1" applyFont="1"/>
    <xf numFmtId="0" fontId="5" fillId="6" borderId="15" xfId="0" applyFont="1" applyFill="1" applyBorder="1" applyAlignment="1"/>
    <xf numFmtId="165" fontId="5" fillId="6" borderId="15" xfId="0" applyNumberFormat="1" applyFont="1" applyFill="1" applyBorder="1" applyAlignment="1"/>
    <xf numFmtId="0" fontId="5" fillId="7" borderId="15" xfId="0" applyFont="1" applyFill="1" applyBorder="1" applyAlignment="1"/>
    <xf numFmtId="165" fontId="3" fillId="7" borderId="15" xfId="0" applyNumberFormat="1" applyFont="1" applyFill="1" applyBorder="1" applyAlignment="1"/>
    <xf numFmtId="0" fontId="3" fillId="7" borderId="15" xfId="0" applyFont="1" applyFill="1" applyBorder="1" applyAlignment="1"/>
    <xf numFmtId="0" fontId="3" fillId="8" borderId="15" xfId="0" applyFont="1" applyFill="1" applyBorder="1" applyAlignment="1"/>
    <xf numFmtId="165" fontId="3" fillId="8" borderId="15" xfId="0" applyNumberFormat="1" applyFont="1" applyFill="1" applyBorder="1" applyAlignment="1"/>
    <xf numFmtId="165" fontId="3" fillId="8" borderId="15" xfId="0" applyNumberFormat="1" applyFont="1" applyFill="1" applyBorder="1"/>
    <xf numFmtId="9" fontId="3" fillId="8" borderId="15" xfId="0" applyNumberFormat="1" applyFont="1" applyFill="1" applyBorder="1"/>
    <xf numFmtId="9" fontId="3" fillId="8" borderId="15" xfId="0" applyNumberFormat="1" applyFont="1" applyFill="1" applyBorder="1" applyAlignment="1"/>
    <xf numFmtId="0" fontId="3" fillId="8" borderId="15" xfId="0" applyFont="1" applyFill="1" applyBorder="1" applyAlignment="1">
      <alignment horizontal="right"/>
    </xf>
    <xf numFmtId="0" fontId="6" fillId="8" borderId="15" xfId="0" applyFont="1" applyFill="1" applyBorder="1" applyAlignment="1"/>
    <xf numFmtId="0" fontId="5" fillId="9" borderId="15" xfId="0" applyFont="1" applyFill="1" applyBorder="1" applyAlignment="1"/>
    <xf numFmtId="165" fontId="5" fillId="9" borderId="15" xfId="0" applyNumberFormat="1" applyFont="1" applyFill="1" applyBorder="1" applyAlignment="1"/>
    <xf numFmtId="0" fontId="3" fillId="10" borderId="15" xfId="0" applyFont="1" applyFill="1" applyBorder="1" applyAlignment="1"/>
    <xf numFmtId="165" fontId="3" fillId="10" borderId="15" xfId="0" applyNumberFormat="1" applyFont="1" applyFill="1" applyBorder="1" applyAlignment="1"/>
    <xf numFmtId="165" fontId="3" fillId="10" borderId="15" xfId="0" applyNumberFormat="1" applyFont="1" applyFill="1" applyBorder="1"/>
    <xf numFmtId="9" fontId="3" fillId="10" borderId="15" xfId="0" applyNumberFormat="1" applyFont="1" applyFill="1" applyBorder="1"/>
    <xf numFmtId="0" fontId="5" fillId="4" borderId="15" xfId="0" applyFont="1" applyFill="1" applyBorder="1" applyAlignment="1">
      <alignment wrapText="1"/>
    </xf>
    <xf numFmtId="165" fontId="3" fillId="4" borderId="15" xfId="0" applyNumberFormat="1" applyFont="1" applyFill="1" applyBorder="1"/>
    <xf numFmtId="165" fontId="3" fillId="4" borderId="15" xfId="0" applyNumberFormat="1" applyFont="1" applyFill="1" applyBorder="1" applyAlignment="1"/>
    <xf numFmtId="9" fontId="3" fillId="4" borderId="15" xfId="0" applyNumberFormat="1" applyFont="1" applyFill="1" applyBorder="1"/>
    <xf numFmtId="165" fontId="3" fillId="0" borderId="0" xfId="0" applyNumberFormat="1" applyFont="1" applyAlignment="1"/>
    <xf numFmtId="0" fontId="5" fillId="7" borderId="0" xfId="0" applyFont="1" applyFill="1" applyAlignment="1"/>
    <xf numFmtId="0" fontId="3" fillId="0" borderId="0" xfId="0" applyFont="1"/>
    <xf numFmtId="0" fontId="4" fillId="0" borderId="0" xfId="0" applyFont="1" applyAlignment="1"/>
    <xf numFmtId="164" fontId="2" fillId="11" borderId="12" xfId="0" applyNumberFormat="1" applyFont="1" applyFill="1" applyBorder="1" applyAlignment="1"/>
    <xf numFmtId="0" fontId="2" fillId="11" borderId="0" xfId="0" applyFont="1" applyFill="1" applyAlignment="1"/>
    <xf numFmtId="0" fontId="7" fillId="12" borderId="0" xfId="0" applyFont="1" applyFill="1" applyAlignment="1"/>
    <xf numFmtId="164" fontId="8" fillId="12" borderId="0" xfId="0" applyNumberFormat="1" applyFont="1" applyFill="1"/>
    <xf numFmtId="0" fontId="9" fillId="13" borderId="0" xfId="0" applyFont="1" applyFill="1" applyAlignment="1"/>
    <xf numFmtId="0" fontId="10" fillId="13" borderId="15" xfId="0" applyFont="1" applyFill="1" applyBorder="1" applyAlignment="1"/>
    <xf numFmtId="0" fontId="10" fillId="13" borderId="0" xfId="0" applyFont="1" applyFill="1" applyAlignment="1"/>
    <xf numFmtId="0" fontId="3" fillId="14" borderId="15" xfId="0" applyFont="1" applyFill="1" applyBorder="1" applyAlignment="1"/>
    <xf numFmtId="165" fontId="3" fillId="14" borderId="15" xfId="0" applyNumberFormat="1" applyFont="1" applyFill="1" applyBorder="1" applyAlignment="1"/>
    <xf numFmtId="49" fontId="3" fillId="14" borderId="15" xfId="0" applyNumberFormat="1" applyFont="1" applyFill="1" applyBorder="1" applyAlignment="1"/>
    <xf numFmtId="44" fontId="3" fillId="14" borderId="15" xfId="0" applyNumberFormat="1" applyFont="1" applyFill="1" applyBorder="1" applyAlignment="1"/>
    <xf numFmtId="0" fontId="5" fillId="14" borderId="15" xfId="0" applyFont="1" applyFill="1" applyBorder="1" applyAlignment="1"/>
    <xf numFmtId="0" fontId="11" fillId="13" borderId="15" xfId="0" applyFont="1" applyFill="1" applyBorder="1" applyAlignment="1"/>
    <xf numFmtId="166" fontId="3" fillId="14" borderId="15" xfId="0" applyNumberFormat="1" applyFont="1" applyFill="1" applyBorder="1" applyAlignment="1"/>
    <xf numFmtId="167" fontId="3" fillId="14" borderId="15" xfId="0" applyNumberFormat="1" applyFont="1" applyFill="1" applyBorder="1" applyAlignment="1"/>
    <xf numFmtId="14" fontId="3" fillId="14" borderId="15" xfId="0" applyNumberFormat="1" applyFont="1" applyFill="1" applyBorder="1" applyAlignment="1"/>
    <xf numFmtId="0" fontId="2" fillId="0" borderId="16" xfId="0" applyFont="1" applyBorder="1"/>
    <xf numFmtId="0" fontId="2" fillId="0" borderId="17" xfId="0" applyFont="1" applyBorder="1"/>
    <xf numFmtId="0" fontId="2" fillId="5" borderId="17" xfId="0" applyFont="1" applyFill="1" applyBorder="1"/>
    <xf numFmtId="0" fontId="2" fillId="0" borderId="18" xfId="0" applyFont="1" applyBorder="1"/>
    <xf numFmtId="0" fontId="5" fillId="6" borderId="0" xfId="0" applyFont="1" applyFill="1" applyAlignment="1"/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wrapText="1"/>
    </xf>
    <xf numFmtId="165" fontId="3" fillId="0" borderId="0" xfId="0" applyNumberFormat="1" applyFont="1"/>
    <xf numFmtId="0" fontId="5" fillId="0" borderId="15" xfId="0" applyFont="1" applyBorder="1" applyAlignment="1">
      <alignment horizontal="center"/>
    </xf>
    <xf numFmtId="165" fontId="5" fillId="0" borderId="15" xfId="0" applyNumberFormat="1" applyFont="1" applyBorder="1" applyAlignment="1">
      <alignment horizontal="center"/>
    </xf>
    <xf numFmtId="165" fontId="5" fillId="0" borderId="15" xfId="0" applyNumberFormat="1" applyFont="1" applyBorder="1" applyAlignment="1">
      <alignment horizontal="center" wrapText="1"/>
    </xf>
    <xf numFmtId="0" fontId="3" fillId="6" borderId="15" xfId="0" applyFont="1" applyFill="1" applyBorder="1" applyAlignment="1"/>
    <xf numFmtId="165" fontId="3" fillId="6" borderId="15" xfId="0" applyNumberFormat="1" applyFont="1" applyFill="1" applyBorder="1" applyAlignment="1"/>
    <xf numFmtId="165" fontId="3" fillId="6" borderId="15" xfId="0" applyNumberFormat="1" applyFont="1" applyFill="1" applyBorder="1"/>
    <xf numFmtId="165" fontId="3" fillId="6" borderId="0" xfId="0" applyNumberFormat="1" applyFont="1" applyFill="1"/>
    <xf numFmtId="0" fontId="10" fillId="15" borderId="15" xfId="0" applyFont="1" applyFill="1" applyBorder="1" applyAlignment="1"/>
    <xf numFmtId="0" fontId="10" fillId="15" borderId="15" xfId="0" applyFont="1" applyFill="1" applyBorder="1"/>
    <xf numFmtId="165" fontId="10" fillId="15" borderId="15" xfId="0" applyNumberFormat="1" applyFont="1" applyFill="1" applyBorder="1"/>
    <xf numFmtId="165" fontId="10" fillId="15" borderId="0" xfId="0" applyNumberFormat="1" applyFont="1" applyFill="1"/>
    <xf numFmtId="0" fontId="3" fillId="16" borderId="15" xfId="0" applyFont="1" applyFill="1" applyBorder="1" applyAlignment="1"/>
    <xf numFmtId="165" fontId="3" fillId="16" borderId="15" xfId="0" applyNumberFormat="1" applyFont="1" applyFill="1" applyBorder="1" applyAlignment="1"/>
    <xf numFmtId="165" fontId="3" fillId="16" borderId="15" xfId="0" applyNumberFormat="1" applyFont="1" applyFill="1" applyBorder="1"/>
    <xf numFmtId="165" fontId="3" fillId="16" borderId="0" xfId="0" applyNumberFormat="1" applyFont="1" applyFill="1"/>
    <xf numFmtId="168" fontId="5" fillId="6" borderId="15" xfId="0" applyNumberFormat="1" applyFont="1" applyFill="1" applyBorder="1" applyAlignment="1"/>
    <xf numFmtId="168" fontId="5" fillId="6" borderId="15" xfId="0" applyNumberFormat="1" applyFont="1" applyFill="1" applyBorder="1" applyAlignment="1">
      <alignment horizontal="center"/>
    </xf>
    <xf numFmtId="168" fontId="5" fillId="6" borderId="15" xfId="0" applyNumberFormat="1" applyFont="1" applyFill="1" applyBorder="1" applyAlignment="1">
      <alignment horizontal="left"/>
    </xf>
    <xf numFmtId="169" fontId="5" fillId="6" borderId="15" xfId="0" applyNumberFormat="1" applyFont="1" applyFill="1" applyBorder="1" applyAlignment="1"/>
    <xf numFmtId="0" fontId="5" fillId="6" borderId="15" xfId="0" applyFont="1" applyFill="1" applyBorder="1" applyAlignment="1">
      <alignment horizontal="right"/>
    </xf>
    <xf numFmtId="0" fontId="7" fillId="0" borderId="0" xfId="0" applyFont="1" applyAlignment="1"/>
    <xf numFmtId="0" fontId="12" fillId="0" borderId="0" xfId="0" applyFont="1" applyAlignment="1">
      <alignment horizontal="center"/>
    </xf>
    <xf numFmtId="0" fontId="13" fillId="0" borderId="0" xfId="0" applyFont="1"/>
    <xf numFmtId="0" fontId="12" fillId="12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/>
    <xf numFmtId="170" fontId="13" fillId="0" borderId="0" xfId="0" applyNumberFormat="1" applyFont="1" applyAlignment="1">
      <alignment horizontal="left"/>
    </xf>
    <xf numFmtId="0" fontId="3" fillId="0" borderId="0" xfId="0" applyFont="1" applyAlignment="1"/>
    <xf numFmtId="164" fontId="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64" fontId="13" fillId="0" borderId="0" xfId="0" applyNumberFormat="1" applyFont="1" applyAlignment="1"/>
    <xf numFmtId="0" fontId="13" fillId="0" borderId="0" xfId="0" applyFont="1" applyAlignment="1"/>
    <xf numFmtId="0" fontId="16" fillId="0" borderId="15" xfId="0" applyFont="1" applyBorder="1" applyAlignment="1"/>
    <xf numFmtId="170" fontId="13" fillId="0" borderId="15" xfId="0" applyNumberFormat="1" applyFont="1" applyBorder="1" applyAlignment="1">
      <alignment horizontal="left"/>
    </xf>
    <xf numFmtId="164" fontId="13" fillId="0" borderId="15" xfId="0" applyNumberFormat="1" applyFont="1" applyBorder="1" applyAlignment="1"/>
    <xf numFmtId="0" fontId="13" fillId="0" borderId="15" xfId="0" applyFont="1" applyBorder="1" applyAlignment="1"/>
    <xf numFmtId="0" fontId="13" fillId="0" borderId="0" xfId="0" applyFont="1" applyAlignment="1">
      <alignment horizontal="left"/>
    </xf>
    <xf numFmtId="0" fontId="13" fillId="0" borderId="15" xfId="0" applyFont="1" applyBorder="1"/>
    <xf numFmtId="0" fontId="16" fillId="0" borderId="15" xfId="0" applyFont="1" applyBorder="1" applyAlignment="1">
      <alignment horizontal="left"/>
    </xf>
    <xf numFmtId="9" fontId="13" fillId="0" borderId="15" xfId="0" applyNumberFormat="1" applyFont="1" applyBorder="1" applyAlignment="1">
      <alignment horizontal="left"/>
    </xf>
    <xf numFmtId="10" fontId="13" fillId="0" borderId="15" xfId="0" applyNumberFormat="1" applyFont="1" applyBorder="1" applyAlignment="1">
      <alignment horizontal="left"/>
    </xf>
    <xf numFmtId="0" fontId="13" fillId="19" borderId="0" xfId="0" applyFont="1" applyFill="1" applyAlignment="1">
      <alignment horizontal="left"/>
    </xf>
    <xf numFmtId="0" fontId="13" fillId="19" borderId="0" xfId="0" applyFont="1" applyFill="1"/>
    <xf numFmtId="0" fontId="13" fillId="0" borderId="15" xfId="0" applyFont="1" applyBorder="1" applyAlignment="1">
      <alignment horizontal="left"/>
    </xf>
    <xf numFmtId="14" fontId="1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7" fillId="0" borderId="0" xfId="0" applyFont="1"/>
    <xf numFmtId="0" fontId="16" fillId="0" borderId="15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164" fontId="13" fillId="0" borderId="15" xfId="0" applyNumberFormat="1" applyFont="1" applyBorder="1" applyAlignment="1">
      <alignment horizontal="center"/>
    </xf>
    <xf numFmtId="3" fontId="13" fillId="0" borderId="15" xfId="0" applyNumberFormat="1" applyFont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4" fontId="13" fillId="0" borderId="15" xfId="0" applyNumberFormat="1" applyFont="1" applyBorder="1" applyAlignment="1">
      <alignment horizontal="left"/>
    </xf>
    <xf numFmtId="171" fontId="13" fillId="0" borderId="0" xfId="0" applyNumberFormat="1" applyFont="1" applyAlignment="1"/>
    <xf numFmtId="14" fontId="13" fillId="0" borderId="0" xfId="0" applyNumberFormat="1" applyFont="1" applyAlignment="1"/>
    <xf numFmtId="0" fontId="16" fillId="0" borderId="0" xfId="0" applyFont="1" applyAlignment="1">
      <alignment horizontal="center"/>
    </xf>
    <xf numFmtId="0" fontId="19" fillId="12" borderId="0" xfId="0" applyFont="1" applyFill="1" applyAlignment="1">
      <alignment horizontal="center"/>
    </xf>
    <xf numFmtId="0" fontId="12" fillId="0" borderId="0" xfId="0" applyFont="1" applyAlignment="1">
      <alignment horizontal="left"/>
    </xf>
    <xf numFmtId="0" fontId="7" fillId="19" borderId="0" xfId="0" applyFont="1" applyFill="1" applyAlignment="1"/>
    <xf numFmtId="0" fontId="20" fillId="0" borderId="15" xfId="0" applyFont="1" applyBorder="1" applyAlignment="1">
      <alignment horizontal="center"/>
    </xf>
    <xf numFmtId="0" fontId="15" fillId="0" borderId="0" xfId="0" applyFont="1" applyAlignment="1"/>
    <xf numFmtId="0" fontId="15" fillId="0" borderId="15" xfId="0" applyFont="1" applyBorder="1" applyAlignment="1"/>
    <xf numFmtId="0" fontId="3" fillId="0" borderId="15" xfId="0" applyFont="1" applyBorder="1" applyAlignment="1">
      <alignment horizontal="center"/>
    </xf>
    <xf numFmtId="0" fontId="2" fillId="0" borderId="15" xfId="0" applyFont="1" applyBorder="1"/>
    <xf numFmtId="0" fontId="21" fillId="12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4" fontId="17" fillId="0" borderId="0" xfId="0" applyNumberFormat="1" applyFont="1" applyAlignment="1">
      <alignment horizontal="center"/>
    </xf>
    <xf numFmtId="0" fontId="3" fillId="0" borderId="15" xfId="0" applyFont="1" applyBorder="1" applyAlignment="1"/>
    <xf numFmtId="0" fontId="24" fillId="12" borderId="20" xfId="0" applyFont="1" applyFill="1" applyBorder="1" applyAlignment="1">
      <alignment horizontal="left"/>
    </xf>
    <xf numFmtId="9" fontId="13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0" fillId="0" borderId="0" xfId="0" applyFont="1" applyAlignment="1"/>
    <xf numFmtId="0" fontId="1" fillId="3" borderId="1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16" borderId="19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0" fontId="14" fillId="17" borderId="0" xfId="0" applyFont="1" applyFill="1" applyAlignment="1">
      <alignment horizontal="center"/>
    </xf>
    <xf numFmtId="0" fontId="15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" fillId="15" borderId="1" xfId="0" applyFont="1" applyFill="1" applyBorder="1" applyAlignment="1">
      <alignment horizontal="left" vertical="top"/>
    </xf>
    <xf numFmtId="0" fontId="15" fillId="0" borderId="16" xfId="0" applyFont="1" applyBorder="1" applyAlignment="1">
      <alignment horizontal="left"/>
    </xf>
    <xf numFmtId="0" fontId="12" fillId="12" borderId="16" xfId="0" applyFont="1" applyFill="1" applyBorder="1" applyAlignment="1">
      <alignment horizontal="center"/>
    </xf>
    <xf numFmtId="0" fontId="18" fillId="0" borderId="16" xfId="0" applyFont="1" applyBorder="1" applyAlignment="1"/>
    <xf numFmtId="0" fontId="13" fillId="0" borderId="0" xfId="0" applyFont="1" applyAlignment="1">
      <alignment horizontal="center"/>
    </xf>
    <xf numFmtId="0" fontId="1" fillId="15" borderId="23" xfId="0" applyFont="1" applyFill="1" applyBorder="1" applyAlignment="1">
      <alignment horizontal="left" vertical="center"/>
    </xf>
    <xf numFmtId="0" fontId="12" fillId="0" borderId="16" xfId="0" applyFont="1" applyBorder="1" applyAlignment="1">
      <alignment horizontal="left"/>
    </xf>
    <xf numFmtId="0" fontId="7" fillId="19" borderId="0" xfId="0" applyFont="1" applyFill="1" applyAlignment="1"/>
    <xf numFmtId="0" fontId="21" fillId="21" borderId="16" xfId="0" applyFont="1" applyFill="1" applyBorder="1" applyAlignment="1">
      <alignment horizontal="center"/>
    </xf>
    <xf numFmtId="0" fontId="23" fillId="15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left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20" xfId="0" applyFont="1" applyBorder="1" applyAlignment="1"/>
    <xf numFmtId="0" fontId="2" fillId="0" borderId="21" xfId="0" applyFont="1" applyBorder="1" applyAlignment="1"/>
    <xf numFmtId="0" fontId="2" fillId="0" borderId="17" xfId="0" applyFont="1" applyBorder="1" applyAlignment="1"/>
    <xf numFmtId="0" fontId="2" fillId="0" borderId="18" xfId="0" applyFont="1" applyBorder="1" applyAlignment="1"/>
    <xf numFmtId="14" fontId="13" fillId="12" borderId="0" xfId="0" applyNumberFormat="1" applyFont="1" applyFill="1" applyAlignment="1">
      <alignment horizontal="left"/>
    </xf>
    <xf numFmtId="0" fontId="16" fillId="0" borderId="20" xfId="0" applyFont="1" applyBorder="1" applyAlignment="1">
      <alignment horizontal="left"/>
    </xf>
    <xf numFmtId="0" fontId="16" fillId="0" borderId="20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5" borderId="0" xfId="0" applyFont="1" applyFill="1" applyAlignment="1">
      <alignment horizontal="center"/>
    </xf>
    <xf numFmtId="14" fontId="13" fillId="12" borderId="15" xfId="0" applyNumberFormat="1" applyFont="1" applyFill="1" applyBorder="1" applyAlignment="1">
      <alignment horizontal="left"/>
    </xf>
    <xf numFmtId="164" fontId="13" fillId="18" borderId="15" xfId="0" applyNumberFormat="1" applyFont="1" applyFill="1" applyBorder="1" applyAlignment="1">
      <alignment horizontal="center"/>
    </xf>
    <xf numFmtId="171" fontId="13" fillId="0" borderId="15" xfId="0" applyNumberFormat="1" applyFont="1" applyBorder="1" applyAlignment="1">
      <alignment horizontal="center"/>
    </xf>
    <xf numFmtId="0" fontId="13" fillId="12" borderId="0" xfId="0" applyFont="1" applyFill="1" applyAlignment="1">
      <alignment horizontal="center"/>
    </xf>
    <xf numFmtId="164" fontId="13" fillId="5" borderId="0" xfId="0" applyNumberFormat="1" applyFont="1" applyFill="1" applyAlignment="1">
      <alignment horizontal="center"/>
    </xf>
    <xf numFmtId="14" fontId="13" fillId="12" borderId="0" xfId="0" applyNumberFormat="1" applyFont="1" applyFill="1" applyAlignment="1">
      <alignment horizontal="left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5" borderId="15" xfId="0" applyFont="1" applyFill="1" applyBorder="1" applyAlignment="1">
      <alignment horizontal="center"/>
    </xf>
    <xf numFmtId="172" fontId="13" fillId="0" borderId="15" xfId="0" applyNumberFormat="1" applyFont="1" applyBorder="1" applyAlignment="1">
      <alignment horizontal="left"/>
    </xf>
    <xf numFmtId="0" fontId="13" fillId="20" borderId="15" xfId="0" applyFont="1" applyFill="1" applyBorder="1" applyAlignment="1">
      <alignment horizontal="center"/>
    </xf>
    <xf numFmtId="172" fontId="13" fillId="0" borderId="0" xfId="0" applyNumberFormat="1" applyFont="1" applyAlignment="1">
      <alignment horizontal="left"/>
    </xf>
    <xf numFmtId="0" fontId="15" fillId="0" borderId="13" xfId="0" applyFont="1" applyBorder="1" applyAlignment="1">
      <alignment horizontal="center"/>
    </xf>
    <xf numFmtId="0" fontId="2" fillId="0" borderId="22" xfId="0" applyFont="1" applyBorder="1" applyAlignment="1"/>
    <xf numFmtId="0" fontId="2" fillId="0" borderId="14" xfId="0" applyFont="1" applyBorder="1" applyAlignment="1"/>
    <xf numFmtId="171" fontId="16" fillId="0" borderId="15" xfId="0" applyNumberFormat="1" applyFont="1" applyBorder="1" applyAlignment="1">
      <alignment horizontal="center"/>
    </xf>
    <xf numFmtId="173" fontId="13" fillId="0" borderId="15" xfId="0" applyNumberFormat="1" applyFont="1" applyBorder="1" applyAlignment="1">
      <alignment horizontal="left"/>
    </xf>
    <xf numFmtId="0" fontId="2" fillId="0" borderId="24" xfId="0" applyFont="1" applyBorder="1" applyAlignment="1"/>
    <xf numFmtId="0" fontId="2" fillId="0" borderId="25" xfId="0" applyFont="1" applyBorder="1" applyAlignment="1"/>
    <xf numFmtId="0" fontId="15" fillId="0" borderId="0" xfId="0" applyFont="1" applyAlignment="1"/>
    <xf numFmtId="0" fontId="15" fillId="0" borderId="26" xfId="0" applyFont="1" applyBorder="1" applyAlignment="1"/>
    <xf numFmtId="0" fontId="16" fillId="0" borderId="0" xfId="0" applyFont="1"/>
    <xf numFmtId="0" fontId="16" fillId="0" borderId="20" xfId="0" applyFont="1" applyBorder="1"/>
    <xf numFmtId="14" fontId="16" fillId="5" borderId="15" xfId="0" applyNumberFormat="1" applyFont="1" applyFill="1" applyBorder="1" applyAlignment="1">
      <alignment horizontal="center"/>
    </xf>
    <xf numFmtId="4" fontId="13" fillId="0" borderId="18" xfId="0" applyNumberFormat="1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16" fontId="13" fillId="0" borderId="18" xfId="0" applyNumberFormat="1" applyFont="1" applyBorder="1" applyAlignment="1">
      <alignment horizontal="center"/>
    </xf>
    <xf numFmtId="14" fontId="16" fillId="5" borderId="18" xfId="0" applyNumberFormat="1" applyFont="1" applyFill="1" applyBorder="1" applyAlignment="1">
      <alignment horizontal="center"/>
    </xf>
    <xf numFmtId="4" fontId="13" fillId="0" borderId="15" xfId="0" applyNumberFormat="1" applyFont="1" applyBorder="1" applyAlignment="1">
      <alignment horizontal="center"/>
    </xf>
    <xf numFmtId="16" fontId="13" fillId="0" borderId="15" xfId="0" applyNumberFormat="1" applyFont="1" applyBorder="1" applyAlignment="1">
      <alignment horizontal="center"/>
    </xf>
    <xf numFmtId="0" fontId="13" fillId="0" borderId="20" xfId="0" applyFont="1" applyBorder="1" applyAlignment="1"/>
    <xf numFmtId="0" fontId="13" fillId="0" borderId="26" xfId="0" applyFont="1" applyBorder="1" applyAlignment="1"/>
    <xf numFmtId="0" fontId="15" fillId="0" borderId="0" xfId="0" applyFont="1"/>
    <xf numFmtId="0" fontId="15" fillId="0" borderId="19" xfId="0" applyFont="1" applyBorder="1"/>
    <xf numFmtId="170" fontId="15" fillId="0" borderId="19" xfId="0" applyNumberFormat="1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5" fillId="2" borderId="15" xfId="0" applyFont="1" applyFill="1" applyBorder="1" applyAlignment="1">
      <alignment horizontal="center"/>
    </xf>
    <xf numFmtId="0" fontId="15" fillId="12" borderId="0" xfId="0" applyFont="1" applyFill="1" applyAlignment="1">
      <alignment horizontal="center"/>
    </xf>
    <xf numFmtId="0" fontId="16" fillId="5" borderId="18" xfId="0" applyFont="1" applyFill="1" applyBorder="1" applyAlignment="1">
      <alignment horizontal="center"/>
    </xf>
    <xf numFmtId="0" fontId="13" fillId="5" borderId="15" xfId="0" applyFont="1" applyFill="1" applyBorder="1" applyAlignment="1">
      <alignment horizontal="center"/>
    </xf>
    <xf numFmtId="0" fontId="15" fillId="0" borderId="26" xfId="0" applyFont="1" applyBorder="1"/>
    <xf numFmtId="0" fontId="16" fillId="0" borderId="15" xfId="0" applyFont="1" applyBorder="1"/>
    <xf numFmtId="0" fontId="13" fillId="0" borderId="16" xfId="0" applyFont="1" applyBorder="1"/>
    <xf numFmtId="0" fontId="16" fillId="0" borderId="19" xfId="0" applyFont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164" fontId="13" fillId="5" borderId="15" xfId="0" applyNumberFormat="1" applyFont="1" applyFill="1" applyBorder="1" applyAlignment="1">
      <alignment horizontal="center"/>
    </xf>
    <xf numFmtId="164" fontId="13" fillId="0" borderId="20" xfId="0" applyNumberFormat="1" applyFont="1" applyBorder="1" applyAlignment="1">
      <alignment horizontal="center"/>
    </xf>
    <xf numFmtId="171" fontId="13" fillId="5" borderId="20" xfId="0" applyNumberFormat="1" applyFont="1" applyFill="1" applyBorder="1" applyAlignment="1">
      <alignment horizontal="center"/>
    </xf>
    <xf numFmtId="0" fontId="13" fillId="12" borderId="15" xfId="0" applyFont="1" applyFill="1" applyBorder="1" applyAlignment="1">
      <alignment horizontal="left"/>
    </xf>
    <xf numFmtId="171" fontId="1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76"/>
  <sheetViews>
    <sheetView tabSelected="1" workbookViewId="0"/>
  </sheetViews>
  <sheetFormatPr defaultColWidth="12.625" defaultRowHeight="15" customHeight="1"/>
  <cols>
    <col min="1" max="1" width="24.75" customWidth="1"/>
    <col min="8" max="8" width="15.375" customWidth="1"/>
  </cols>
  <sheetData>
    <row r="1" spans="1:26">
      <c r="A1" s="139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1"/>
    </row>
    <row r="2" spans="1:26">
      <c r="A2" s="162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63"/>
    </row>
    <row r="3" spans="1:26">
      <c r="A3" s="162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63"/>
    </row>
    <row r="4" spans="1:26">
      <c r="A4" s="164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6"/>
    </row>
    <row r="5" spans="1:26">
      <c r="A5" s="1">
        <v>2025</v>
      </c>
      <c r="B5" s="1" t="s">
        <v>1</v>
      </c>
      <c r="C5" s="2" t="s">
        <v>2</v>
      </c>
    </row>
    <row r="6" spans="1:26">
      <c r="A6" s="3" t="s">
        <v>3</v>
      </c>
      <c r="B6" s="4">
        <v>28000</v>
      </c>
    </row>
    <row r="7" spans="1:26">
      <c r="A7" s="5" t="s">
        <v>4</v>
      </c>
      <c r="B7" s="6">
        <v>100000</v>
      </c>
    </row>
    <row r="8" spans="1:26">
      <c r="A8" s="5" t="s">
        <v>5</v>
      </c>
      <c r="B8" s="6">
        <v>10000</v>
      </c>
    </row>
    <row r="9" spans="1:26">
      <c r="A9" s="5" t="s">
        <v>6</v>
      </c>
      <c r="B9" s="6">
        <f>1250*12</f>
        <v>15000</v>
      </c>
      <c r="C9" s="7" t="s">
        <v>7</v>
      </c>
    </row>
    <row r="10" spans="1:26">
      <c r="A10" s="5" t="s">
        <v>8</v>
      </c>
      <c r="B10" s="6">
        <v>15000</v>
      </c>
    </row>
    <row r="11" spans="1:26">
      <c r="A11" s="8" t="s">
        <v>9</v>
      </c>
      <c r="B11" s="9">
        <v>20000</v>
      </c>
      <c r="C11" s="7" t="s">
        <v>7</v>
      </c>
    </row>
    <row r="12" spans="1:26">
      <c r="A12" s="7" t="s">
        <v>10</v>
      </c>
      <c r="B12" s="10">
        <f>SUM(B6:B11)</f>
        <v>188000</v>
      </c>
    </row>
    <row r="16" spans="1:26">
      <c r="A16" s="11" t="s">
        <v>11</v>
      </c>
      <c r="C16" s="12"/>
      <c r="D16" s="12"/>
      <c r="E16" s="12"/>
    </row>
    <row r="17" spans="1:9">
      <c r="A17" s="13" t="s">
        <v>12</v>
      </c>
      <c r="B17" s="14" t="s">
        <v>13</v>
      </c>
      <c r="C17" s="14" t="s">
        <v>14</v>
      </c>
      <c r="D17" s="14" t="s">
        <v>15</v>
      </c>
      <c r="E17" s="14" t="s">
        <v>16</v>
      </c>
      <c r="F17" s="7" t="s">
        <v>17</v>
      </c>
      <c r="G17" s="7" t="s">
        <v>18</v>
      </c>
    </row>
    <row r="18" spans="1:9">
      <c r="A18" s="15" t="s">
        <v>19</v>
      </c>
      <c r="B18" s="16" t="s">
        <v>19</v>
      </c>
      <c r="C18" s="16" t="s">
        <v>19</v>
      </c>
      <c r="D18" s="16" t="s">
        <v>19</v>
      </c>
      <c r="E18" s="17" t="s">
        <v>19</v>
      </c>
    </row>
    <row r="19" spans="1:9">
      <c r="A19" s="18" t="s">
        <v>20</v>
      </c>
      <c r="B19" s="19">
        <v>30000</v>
      </c>
      <c r="C19" s="19">
        <v>268153</v>
      </c>
      <c r="D19" s="20">
        <f t="shared" ref="D19:D22" si="0">C19-B19</f>
        <v>238153</v>
      </c>
      <c r="E19" s="21">
        <f>(D19-B19)/B19</f>
        <v>6.9384333333333332</v>
      </c>
      <c r="F19" s="7">
        <v>142153</v>
      </c>
      <c r="G19" s="7">
        <v>125000</v>
      </c>
    </row>
    <row r="20" spans="1:9">
      <c r="A20" s="18" t="s">
        <v>21</v>
      </c>
      <c r="B20" s="19">
        <v>361900</v>
      </c>
      <c r="C20" s="19">
        <v>550000</v>
      </c>
      <c r="D20" s="20">
        <f t="shared" si="0"/>
        <v>188100</v>
      </c>
      <c r="E20" s="21">
        <f>(C20-B20)/B20</f>
        <v>0.51975683890577506</v>
      </c>
    </row>
    <row r="21" spans="1:9">
      <c r="A21" s="18" t="s">
        <v>22</v>
      </c>
      <c r="B21" s="19">
        <v>35000</v>
      </c>
      <c r="C21" s="19">
        <v>145000</v>
      </c>
      <c r="D21" s="20">
        <f t="shared" si="0"/>
        <v>110000</v>
      </c>
      <c r="E21" s="21">
        <f>(D21-B21)/B21</f>
        <v>2.1428571428571428</v>
      </c>
    </row>
    <row r="22" spans="1:9">
      <c r="A22" s="18" t="s">
        <v>23</v>
      </c>
      <c r="B22" s="19">
        <v>0</v>
      </c>
      <c r="C22" s="19">
        <v>15000</v>
      </c>
      <c r="D22" s="20">
        <f t="shared" si="0"/>
        <v>15000</v>
      </c>
      <c r="E22" s="22">
        <v>0</v>
      </c>
    </row>
    <row r="23" spans="1:9">
      <c r="A23" s="18" t="s">
        <v>24</v>
      </c>
      <c r="B23" s="19">
        <v>1000</v>
      </c>
      <c r="C23" s="19">
        <v>5000</v>
      </c>
      <c r="D23" s="20">
        <f>C23-E31</f>
        <v>4999.6505208519138</v>
      </c>
      <c r="E23" s="21">
        <f t="shared" ref="E23:E28" si="1">(C23-B23)/B23</f>
        <v>4</v>
      </c>
    </row>
    <row r="24" spans="1:9">
      <c r="A24" s="18" t="s">
        <v>25</v>
      </c>
      <c r="B24" s="19">
        <v>9500</v>
      </c>
      <c r="C24" s="19">
        <v>110000</v>
      </c>
      <c r="D24" s="20">
        <f>C24-B24</f>
        <v>100500</v>
      </c>
      <c r="E24" s="21">
        <f t="shared" si="1"/>
        <v>10.578947368421053</v>
      </c>
      <c r="F24" s="7" t="s">
        <v>26</v>
      </c>
      <c r="G24" s="7" t="s">
        <v>27</v>
      </c>
      <c r="H24" s="7" t="s">
        <v>28</v>
      </c>
      <c r="I24" s="7" t="s">
        <v>29</v>
      </c>
    </row>
    <row r="25" spans="1:9">
      <c r="A25" s="18" t="s">
        <v>30</v>
      </c>
      <c r="B25" s="19">
        <v>220</v>
      </c>
      <c r="C25" s="19">
        <f>SUM(F25,H25,I25,F27)</f>
        <v>24540</v>
      </c>
      <c r="D25" s="19">
        <v>16258</v>
      </c>
      <c r="E25" s="21">
        <f t="shared" si="1"/>
        <v>110.54545454545455</v>
      </c>
      <c r="F25" s="7">
        <v>3600</v>
      </c>
      <c r="H25" s="7">
        <v>2500</v>
      </c>
      <c r="I25" s="7">
        <v>17840</v>
      </c>
    </row>
    <row r="26" spans="1:9">
      <c r="A26" s="18" t="s">
        <v>31</v>
      </c>
      <c r="B26" s="19">
        <v>17000</v>
      </c>
      <c r="C26" s="19">
        <v>5490</v>
      </c>
      <c r="D26" s="20">
        <f t="shared" ref="D26:D31" si="2">C26-B26</f>
        <v>-11510</v>
      </c>
      <c r="E26" s="21">
        <f t="shared" si="1"/>
        <v>-0.67705882352941171</v>
      </c>
      <c r="F26" s="7" t="s">
        <v>32</v>
      </c>
    </row>
    <row r="27" spans="1:9">
      <c r="A27" s="18" t="s">
        <v>33</v>
      </c>
      <c r="B27" s="19">
        <v>1000</v>
      </c>
      <c r="C27" s="19">
        <v>35952</v>
      </c>
      <c r="D27" s="20">
        <f t="shared" si="2"/>
        <v>34952</v>
      </c>
      <c r="E27" s="21">
        <f t="shared" si="1"/>
        <v>34.951999999999998</v>
      </c>
      <c r="F27" s="7">
        <v>600</v>
      </c>
    </row>
    <row r="28" spans="1:9">
      <c r="A28" s="18" t="s">
        <v>34</v>
      </c>
      <c r="B28" s="19">
        <v>60000</v>
      </c>
      <c r="C28" s="19">
        <v>28000</v>
      </c>
      <c r="D28" s="20">
        <f t="shared" si="2"/>
        <v>-32000</v>
      </c>
      <c r="E28" s="21">
        <f t="shared" si="1"/>
        <v>-0.53333333333333333</v>
      </c>
      <c r="F28" s="7" t="s">
        <v>35</v>
      </c>
      <c r="G28" s="7">
        <v>30700</v>
      </c>
      <c r="H28" s="7">
        <v>5252</v>
      </c>
    </row>
    <row r="29" spans="1:9">
      <c r="A29" s="18" t="s">
        <v>36</v>
      </c>
      <c r="B29" s="19">
        <v>0</v>
      </c>
      <c r="C29" s="19">
        <v>30</v>
      </c>
      <c r="D29" s="20">
        <f t="shared" si="2"/>
        <v>30</v>
      </c>
      <c r="E29" s="23" t="s">
        <v>37</v>
      </c>
      <c r="F29" s="7" t="s">
        <v>38</v>
      </c>
      <c r="G29" s="7" t="s">
        <v>39</v>
      </c>
    </row>
    <row r="30" spans="1:9">
      <c r="A30" s="18" t="s">
        <v>40</v>
      </c>
      <c r="B30" s="19">
        <v>45000</v>
      </c>
      <c r="C30" s="19">
        <v>130000</v>
      </c>
      <c r="D30" s="20">
        <f t="shared" si="2"/>
        <v>85000</v>
      </c>
      <c r="E30" s="21">
        <f t="shared" ref="E30:E31" si="3">(D30-B30)/B30</f>
        <v>0.88888888888888884</v>
      </c>
      <c r="F30" s="7">
        <v>220</v>
      </c>
      <c r="G30" s="7">
        <v>5270</v>
      </c>
    </row>
    <row r="31" spans="1:9">
      <c r="A31" s="24" t="s">
        <v>41</v>
      </c>
      <c r="B31" s="20">
        <f t="shared" ref="B31:C31" si="4">SUM(B19:B30)</f>
        <v>560620</v>
      </c>
      <c r="C31" s="20">
        <f t="shared" si="4"/>
        <v>1317165</v>
      </c>
      <c r="D31" s="20">
        <f t="shared" si="2"/>
        <v>756545</v>
      </c>
      <c r="E31" s="21">
        <f t="shared" si="3"/>
        <v>0.34947914808604758</v>
      </c>
    </row>
    <row r="32" spans="1:9">
      <c r="A32" s="25" t="s">
        <v>42</v>
      </c>
      <c r="B32" s="26" t="s">
        <v>43</v>
      </c>
      <c r="C32" s="26" t="s">
        <v>44</v>
      </c>
      <c r="D32" s="26" t="s">
        <v>45</v>
      </c>
      <c r="E32" s="25" t="s">
        <v>16</v>
      </c>
    </row>
    <row r="33" spans="1:8">
      <c r="A33" s="27" t="s">
        <v>46</v>
      </c>
      <c r="B33" s="28">
        <v>343000</v>
      </c>
      <c r="C33" s="28">
        <v>268000</v>
      </c>
      <c r="D33" s="29">
        <f t="shared" ref="D33:D36" si="5">B33-C33</f>
        <v>75000</v>
      </c>
      <c r="E33" s="30">
        <f>D33/B33</f>
        <v>0.21865889212827988</v>
      </c>
    </row>
    <row r="34" spans="1:8">
      <c r="A34" s="27" t="s">
        <v>47</v>
      </c>
      <c r="B34" s="28">
        <v>0</v>
      </c>
      <c r="C34" s="28">
        <v>3800</v>
      </c>
      <c r="D34" s="29">
        <f t="shared" si="5"/>
        <v>-3800</v>
      </c>
      <c r="E34" s="30"/>
    </row>
    <row r="35" spans="1:8">
      <c r="A35" s="27" t="s">
        <v>40</v>
      </c>
      <c r="B35" s="28">
        <v>36000</v>
      </c>
      <c r="C35" s="28">
        <v>27000</v>
      </c>
      <c r="D35" s="29">
        <f t="shared" si="5"/>
        <v>9000</v>
      </c>
      <c r="E35" s="30">
        <f t="shared" ref="E35:E37" si="6">D35/B35</f>
        <v>0.25</v>
      </c>
    </row>
    <row r="36" spans="1:8">
      <c r="A36" s="27" t="s">
        <v>48</v>
      </c>
      <c r="B36" s="29">
        <f t="shared" ref="B36:C36" si="7">SUM(B33:B35)</f>
        <v>379000</v>
      </c>
      <c r="C36" s="29">
        <f t="shared" si="7"/>
        <v>298800</v>
      </c>
      <c r="D36" s="29">
        <f t="shared" si="5"/>
        <v>80200</v>
      </c>
      <c r="E36" s="30">
        <f t="shared" si="6"/>
        <v>0.21160949868073878</v>
      </c>
    </row>
    <row r="37" spans="1:8">
      <c r="A37" s="31" t="s">
        <v>49</v>
      </c>
      <c r="B37" s="32">
        <f t="shared" ref="B37:C37" si="8">B31-B36</f>
        <v>181620</v>
      </c>
      <c r="C37" s="33">
        <f t="shared" si="8"/>
        <v>1018365</v>
      </c>
      <c r="D37" s="32">
        <f>C37-B37</f>
        <v>836745</v>
      </c>
      <c r="E37" s="34">
        <f t="shared" si="6"/>
        <v>4.607119259993393</v>
      </c>
    </row>
    <row r="39" spans="1:8">
      <c r="A39" s="12"/>
      <c r="B39" s="12"/>
    </row>
    <row r="40" spans="1:8">
      <c r="A40" s="35"/>
      <c r="B40" s="13" t="s">
        <v>50</v>
      </c>
      <c r="C40" s="13" t="s">
        <v>51</v>
      </c>
      <c r="D40" s="13" t="s">
        <v>52</v>
      </c>
      <c r="E40" s="14" t="s">
        <v>53</v>
      </c>
      <c r="F40" s="13" t="s">
        <v>54</v>
      </c>
      <c r="G40" s="13" t="s">
        <v>55</v>
      </c>
      <c r="H40" s="13" t="s">
        <v>56</v>
      </c>
    </row>
    <row r="41" spans="1:8">
      <c r="A41" s="36" t="s">
        <v>19</v>
      </c>
      <c r="B41" s="17" t="s">
        <v>19</v>
      </c>
      <c r="C41" s="17" t="s">
        <v>19</v>
      </c>
      <c r="D41" s="17" t="s">
        <v>19</v>
      </c>
      <c r="E41" s="17" t="s">
        <v>19</v>
      </c>
      <c r="F41" s="17" t="s">
        <v>19</v>
      </c>
      <c r="G41" s="16" t="s">
        <v>19</v>
      </c>
      <c r="H41" s="16" t="s">
        <v>19</v>
      </c>
    </row>
    <row r="42" spans="1:8">
      <c r="A42" s="18" t="s">
        <v>20</v>
      </c>
      <c r="B42" s="19">
        <v>240745</v>
      </c>
      <c r="C42" s="19">
        <v>252289</v>
      </c>
      <c r="D42" s="19">
        <v>268153</v>
      </c>
      <c r="E42" s="19"/>
      <c r="F42" s="19"/>
      <c r="G42" s="19"/>
      <c r="H42" s="19"/>
    </row>
    <row r="43" spans="1:8">
      <c r="A43" s="18" t="s">
        <v>21</v>
      </c>
      <c r="B43" s="19">
        <v>550000</v>
      </c>
      <c r="C43" s="19">
        <v>550000</v>
      </c>
      <c r="D43" s="19">
        <v>550000</v>
      </c>
      <c r="E43" s="19"/>
      <c r="F43" s="19"/>
      <c r="G43" s="19"/>
      <c r="H43" s="19"/>
    </row>
    <row r="44" spans="1:8">
      <c r="A44" s="18" t="s">
        <v>22</v>
      </c>
      <c r="B44" s="19">
        <v>140000</v>
      </c>
      <c r="C44" s="19">
        <v>150000</v>
      </c>
      <c r="D44" s="19">
        <v>145000</v>
      </c>
      <c r="E44" s="19"/>
      <c r="F44" s="19"/>
      <c r="G44" s="19"/>
      <c r="H44" s="19"/>
    </row>
    <row r="45" spans="1:8">
      <c r="A45" s="18" t="s">
        <v>57</v>
      </c>
      <c r="B45" s="19">
        <v>39000</v>
      </c>
      <c r="C45" s="19">
        <v>15000</v>
      </c>
      <c r="D45" s="19">
        <v>15000</v>
      </c>
      <c r="E45" s="19"/>
      <c r="F45" s="19"/>
      <c r="G45" s="19"/>
      <c r="H45" s="19"/>
    </row>
    <row r="46" spans="1:8">
      <c r="A46" s="18" t="s">
        <v>24</v>
      </c>
      <c r="B46" s="19">
        <v>5000</v>
      </c>
      <c r="C46" s="19">
        <v>5000</v>
      </c>
      <c r="D46" s="19">
        <v>5000</v>
      </c>
      <c r="E46" s="19"/>
      <c r="F46" s="19"/>
      <c r="G46" s="19"/>
      <c r="H46" s="19"/>
    </row>
    <row r="47" spans="1:8">
      <c r="A47" s="18" t="s">
        <v>58</v>
      </c>
      <c r="B47" s="19">
        <v>84869</v>
      </c>
      <c r="C47" s="19">
        <v>96980</v>
      </c>
      <c r="D47" s="19">
        <v>110000</v>
      </c>
      <c r="E47" s="19"/>
      <c r="F47" s="19"/>
      <c r="G47" s="19"/>
      <c r="H47" s="19"/>
    </row>
    <row r="48" spans="1:8">
      <c r="A48" s="18" t="s">
        <v>30</v>
      </c>
      <c r="B48" s="19">
        <v>32492</v>
      </c>
      <c r="C48" s="19">
        <v>22354</v>
      </c>
      <c r="D48" s="19">
        <v>24540</v>
      </c>
      <c r="E48" s="19"/>
      <c r="F48" s="19"/>
      <c r="G48" s="19"/>
      <c r="H48" s="19"/>
    </row>
    <row r="49" spans="1:8">
      <c r="A49" s="18" t="s">
        <v>31</v>
      </c>
      <c r="B49" s="19">
        <v>8137</v>
      </c>
      <c r="C49" s="19">
        <v>4500</v>
      </c>
      <c r="D49" s="19">
        <v>5490</v>
      </c>
      <c r="E49" s="19"/>
      <c r="F49" s="19"/>
      <c r="G49" s="19"/>
      <c r="H49" s="19"/>
    </row>
    <row r="50" spans="1:8">
      <c r="A50" s="18" t="s">
        <v>59</v>
      </c>
      <c r="B50" s="19">
        <v>20000</v>
      </c>
      <c r="C50" s="19">
        <v>31408</v>
      </c>
      <c r="D50" s="19">
        <v>35952</v>
      </c>
      <c r="E50" s="19"/>
      <c r="F50" s="19"/>
      <c r="G50" s="19"/>
      <c r="H50" s="19"/>
    </row>
    <row r="51" spans="1:8">
      <c r="A51" s="18" t="s">
        <v>34</v>
      </c>
      <c r="B51" s="19">
        <v>28000</v>
      </c>
      <c r="C51" s="19">
        <v>28000</v>
      </c>
      <c r="D51" s="19">
        <v>28000</v>
      </c>
      <c r="E51" s="19"/>
      <c r="F51" s="19"/>
      <c r="G51" s="19"/>
      <c r="H51" s="19"/>
    </row>
    <row r="52" spans="1:8">
      <c r="A52" s="18" t="s">
        <v>36</v>
      </c>
      <c r="B52" s="19">
        <v>110</v>
      </c>
      <c r="C52" s="19">
        <v>50</v>
      </c>
      <c r="D52" s="19">
        <v>30</v>
      </c>
      <c r="E52" s="19"/>
      <c r="F52" s="19"/>
      <c r="G52" s="19"/>
      <c r="H52" s="19"/>
    </row>
    <row r="53" spans="1:8">
      <c r="A53" s="18" t="s">
        <v>60</v>
      </c>
      <c r="B53" s="19">
        <v>130000</v>
      </c>
      <c r="C53" s="19">
        <v>130000</v>
      </c>
      <c r="D53" s="19">
        <v>130000</v>
      </c>
      <c r="E53" s="19"/>
      <c r="F53" s="19"/>
      <c r="G53" s="19"/>
      <c r="H53" s="19"/>
    </row>
    <row r="54" spans="1:8">
      <c r="A54" s="24" t="s">
        <v>41</v>
      </c>
      <c r="B54" s="20">
        <f>SUM(B42:B53)</f>
        <v>1278353</v>
      </c>
      <c r="C54" s="20">
        <v>1285581</v>
      </c>
      <c r="D54" s="20">
        <v>1317165</v>
      </c>
      <c r="E54" s="20"/>
      <c r="F54" s="20"/>
      <c r="G54" s="20"/>
      <c r="H54" s="20"/>
    </row>
    <row r="55" spans="1:8">
      <c r="A55" s="25" t="s">
        <v>42</v>
      </c>
      <c r="B55" s="26" t="s">
        <v>44</v>
      </c>
      <c r="C55" s="26" t="s">
        <v>44</v>
      </c>
      <c r="D55" s="26" t="s">
        <v>44</v>
      </c>
      <c r="E55" s="26" t="s">
        <v>44</v>
      </c>
      <c r="F55" s="26"/>
      <c r="G55" s="26" t="s">
        <v>44</v>
      </c>
      <c r="H55" s="26" t="s">
        <v>44</v>
      </c>
    </row>
    <row r="56" spans="1:8">
      <c r="A56" s="27" t="s">
        <v>46</v>
      </c>
      <c r="B56" s="28">
        <v>272000</v>
      </c>
      <c r="C56" s="28">
        <v>269000</v>
      </c>
      <c r="D56" s="28">
        <v>268000</v>
      </c>
      <c r="E56" s="28"/>
      <c r="F56" s="28"/>
      <c r="G56" s="28"/>
      <c r="H56" s="28"/>
    </row>
    <row r="57" spans="1:8">
      <c r="A57" s="27" t="s">
        <v>47</v>
      </c>
      <c r="B57" s="28">
        <v>6000</v>
      </c>
      <c r="C57" s="28">
        <v>1500</v>
      </c>
      <c r="D57" s="28">
        <v>3800</v>
      </c>
      <c r="E57" s="28"/>
      <c r="F57" s="28"/>
      <c r="G57" s="28"/>
      <c r="H57" s="28"/>
    </row>
    <row r="58" spans="1:8">
      <c r="A58" s="27" t="s">
        <v>60</v>
      </c>
      <c r="B58" s="28">
        <v>28000</v>
      </c>
      <c r="C58" s="28">
        <v>28000</v>
      </c>
      <c r="D58" s="28">
        <v>27000</v>
      </c>
      <c r="E58" s="28"/>
      <c r="F58" s="28"/>
      <c r="G58" s="28"/>
      <c r="H58" s="28"/>
    </row>
    <row r="59" spans="1:8">
      <c r="A59" s="27" t="s">
        <v>48</v>
      </c>
      <c r="B59" s="29">
        <f>SUM(B56:B58)</f>
        <v>306000</v>
      </c>
      <c r="C59" s="29">
        <v>298500</v>
      </c>
      <c r="D59" s="29">
        <v>298800</v>
      </c>
      <c r="E59" s="29"/>
      <c r="F59" s="29"/>
      <c r="G59" s="29"/>
      <c r="H59" s="29"/>
    </row>
    <row r="60" spans="1:8">
      <c r="A60" s="31" t="s">
        <v>61</v>
      </c>
      <c r="B60" s="33">
        <f>B54-B59</f>
        <v>972353</v>
      </c>
      <c r="C60" s="33">
        <v>987081</v>
      </c>
      <c r="D60" s="33">
        <v>1018365</v>
      </c>
      <c r="E60" s="32"/>
      <c r="F60" s="32"/>
      <c r="G60" s="33"/>
      <c r="H60" s="33"/>
    </row>
    <row r="61" spans="1:8">
      <c r="A61" s="37"/>
      <c r="B61" s="37"/>
      <c r="C61" s="37"/>
      <c r="D61" s="37"/>
    </row>
    <row r="62" spans="1:8">
      <c r="A62" s="37"/>
      <c r="B62" s="37"/>
      <c r="C62" s="37"/>
      <c r="D62" s="37"/>
    </row>
    <row r="63" spans="1:8">
      <c r="A63" s="11" t="s">
        <v>62</v>
      </c>
      <c r="B63" s="37"/>
      <c r="C63" s="37"/>
      <c r="D63" s="37"/>
    </row>
    <row r="64" spans="1:8">
      <c r="A64" s="35"/>
      <c r="B64" s="13" t="s">
        <v>63</v>
      </c>
      <c r="C64" s="13" t="s">
        <v>51</v>
      </c>
      <c r="D64" s="13" t="s">
        <v>52</v>
      </c>
      <c r="E64" s="14" t="s">
        <v>53</v>
      </c>
      <c r="F64" s="13" t="s">
        <v>64</v>
      </c>
      <c r="G64" s="13" t="s">
        <v>65</v>
      </c>
      <c r="H64" s="13" t="s">
        <v>66</v>
      </c>
    </row>
    <row r="65" spans="1:8">
      <c r="A65" s="36" t="s">
        <v>19</v>
      </c>
      <c r="B65" s="17" t="s">
        <v>19</v>
      </c>
      <c r="C65" s="17" t="s">
        <v>19</v>
      </c>
      <c r="D65" s="17" t="s">
        <v>19</v>
      </c>
      <c r="E65" s="17" t="s">
        <v>19</v>
      </c>
      <c r="F65" s="17" t="s">
        <v>19</v>
      </c>
      <c r="G65" s="16" t="s">
        <v>19</v>
      </c>
      <c r="H65" s="16" t="s">
        <v>19</v>
      </c>
    </row>
    <row r="66" spans="1:8">
      <c r="A66" s="18" t="s">
        <v>67</v>
      </c>
      <c r="B66" s="19">
        <v>3416</v>
      </c>
      <c r="C66" s="19">
        <v>3923</v>
      </c>
      <c r="D66" s="19">
        <v>4363</v>
      </c>
      <c r="E66" s="19"/>
      <c r="F66" s="19"/>
      <c r="G66" s="19"/>
      <c r="H66" s="19"/>
    </row>
    <row r="67" spans="1:8">
      <c r="A67" s="18" t="s">
        <v>68</v>
      </c>
      <c r="B67" s="19" t="s">
        <v>69</v>
      </c>
      <c r="C67" s="19" t="s">
        <v>69</v>
      </c>
      <c r="D67" s="19" t="s">
        <v>69</v>
      </c>
      <c r="E67" s="19" t="s">
        <v>69</v>
      </c>
      <c r="F67" s="19" t="s">
        <v>70</v>
      </c>
      <c r="G67" s="19"/>
      <c r="H67" s="19"/>
    </row>
    <row r="70" spans="1:8">
      <c r="A70" s="11" t="s">
        <v>71</v>
      </c>
    </row>
    <row r="72" spans="1:8">
      <c r="A72" s="38" t="s">
        <v>72</v>
      </c>
    </row>
    <row r="73" spans="1:8">
      <c r="A73" s="7" t="s">
        <v>73</v>
      </c>
    </row>
    <row r="74" spans="1:8">
      <c r="A74" s="7" t="s">
        <v>74</v>
      </c>
    </row>
    <row r="75" spans="1:8">
      <c r="A75" s="7" t="s">
        <v>75</v>
      </c>
    </row>
    <row r="76" spans="1:8">
      <c r="A76" s="7" t="s">
        <v>76</v>
      </c>
    </row>
  </sheetData>
  <mergeCells count="1">
    <mergeCell ref="A1:Z4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24"/>
  <sheetViews>
    <sheetView workbookViewId="0"/>
  </sheetViews>
  <sheetFormatPr defaultColWidth="12.625" defaultRowHeight="15" customHeight="1"/>
  <cols>
    <col min="1" max="1" width="29.25" customWidth="1"/>
    <col min="2" max="2" width="21.375" customWidth="1"/>
    <col min="3" max="3" width="16.125" customWidth="1"/>
    <col min="6" max="6" width="14" customWidth="1"/>
    <col min="7" max="7" width="13.625" customWidth="1"/>
    <col min="8" max="8" width="16.125" customWidth="1"/>
  </cols>
  <sheetData>
    <row r="1" spans="1:9">
      <c r="A1" s="141" t="s">
        <v>77</v>
      </c>
      <c r="B1" s="160"/>
      <c r="C1" s="160"/>
      <c r="D1" s="160"/>
      <c r="E1" s="160"/>
      <c r="F1" s="160"/>
      <c r="G1" s="160"/>
      <c r="H1" s="160"/>
      <c r="I1" s="161"/>
    </row>
    <row r="2" spans="1:9">
      <c r="A2" s="162"/>
      <c r="B2" s="140"/>
      <c r="C2" s="140"/>
      <c r="D2" s="140"/>
      <c r="E2" s="140"/>
      <c r="F2" s="140"/>
      <c r="G2" s="140"/>
      <c r="H2" s="140"/>
      <c r="I2" s="163"/>
    </row>
    <row r="3" spans="1:9">
      <c r="A3" s="162"/>
      <c r="B3" s="140"/>
      <c r="C3" s="140"/>
      <c r="D3" s="140"/>
      <c r="E3" s="140"/>
      <c r="F3" s="140"/>
      <c r="G3" s="140"/>
      <c r="H3" s="140"/>
      <c r="I3" s="163"/>
    </row>
    <row r="4" spans="1:9">
      <c r="A4" s="164"/>
      <c r="B4" s="165"/>
      <c r="C4" s="165"/>
      <c r="D4" s="165"/>
      <c r="E4" s="165"/>
      <c r="F4" s="165"/>
      <c r="G4" s="165"/>
      <c r="H4" s="165"/>
      <c r="I4" s="166"/>
    </row>
    <row r="5" spans="1:9">
      <c r="A5" s="1">
        <v>2024</v>
      </c>
      <c r="B5" s="1" t="s">
        <v>1</v>
      </c>
      <c r="C5" s="7" t="s">
        <v>78</v>
      </c>
      <c r="F5" s="38">
        <v>2024</v>
      </c>
    </row>
    <row r="6" spans="1:9">
      <c r="A6" s="3" t="s">
        <v>3</v>
      </c>
      <c r="B6" s="4">
        <v>30000</v>
      </c>
      <c r="E6" s="7" t="s">
        <v>79</v>
      </c>
      <c r="F6">
        <f>1200*12</f>
        <v>14400</v>
      </c>
    </row>
    <row r="7" spans="1:9">
      <c r="A7" s="5" t="s">
        <v>80</v>
      </c>
      <c r="B7" s="39">
        <v>20000</v>
      </c>
      <c r="C7" s="40" t="s">
        <v>81</v>
      </c>
      <c r="E7" s="7" t="s">
        <v>82</v>
      </c>
      <c r="F7">
        <f>(300)*12</f>
        <v>3600</v>
      </c>
    </row>
    <row r="8" spans="1:9">
      <c r="A8" s="5" t="s">
        <v>83</v>
      </c>
      <c r="B8" s="6">
        <v>100000</v>
      </c>
    </row>
    <row r="9" spans="1:9">
      <c r="A9" s="5" t="s">
        <v>5</v>
      </c>
      <c r="B9" s="6">
        <v>10000</v>
      </c>
    </row>
    <row r="10" spans="1:9">
      <c r="A10" s="8" t="s">
        <v>9</v>
      </c>
      <c r="B10" s="9">
        <v>20000</v>
      </c>
    </row>
    <row r="11" spans="1:9">
      <c r="A11" s="41" t="s">
        <v>84</v>
      </c>
      <c r="B11" s="42">
        <f>SUM(B6:B10)</f>
        <v>180000</v>
      </c>
    </row>
    <row r="16" spans="1:9">
      <c r="A16" s="11" t="s">
        <v>11</v>
      </c>
      <c r="C16" s="12"/>
      <c r="D16" s="12"/>
      <c r="E16" s="12"/>
    </row>
    <row r="17" spans="1:9">
      <c r="A17" s="13" t="s">
        <v>12</v>
      </c>
      <c r="B17" s="14" t="s">
        <v>13</v>
      </c>
      <c r="C17" s="14" t="s">
        <v>14</v>
      </c>
      <c r="D17" s="14" t="s">
        <v>15</v>
      </c>
      <c r="E17" s="14" t="s">
        <v>16</v>
      </c>
      <c r="F17" s="7" t="s">
        <v>17</v>
      </c>
      <c r="G17" s="7" t="s">
        <v>18</v>
      </c>
    </row>
    <row r="18" spans="1:9">
      <c r="A18" s="15" t="s">
        <v>19</v>
      </c>
      <c r="B18" s="16" t="s">
        <v>19</v>
      </c>
      <c r="C18" s="16" t="s">
        <v>19</v>
      </c>
      <c r="D18" s="16" t="s">
        <v>19</v>
      </c>
      <c r="E18" s="17" t="s">
        <v>19</v>
      </c>
    </row>
    <row r="19" spans="1:9">
      <c r="A19" s="18" t="s">
        <v>20</v>
      </c>
      <c r="B19" s="19">
        <v>30000</v>
      </c>
      <c r="C19" s="19">
        <v>233789</v>
      </c>
      <c r="D19" s="20">
        <f t="shared" ref="D19:D23" si="0">C19-B19</f>
        <v>203789</v>
      </c>
      <c r="E19" s="21">
        <f>(D19-B19)/B19</f>
        <v>5.7929666666666666</v>
      </c>
      <c r="F19" s="7">
        <v>131789</v>
      </c>
      <c r="G19" s="7">
        <v>102000</v>
      </c>
    </row>
    <row r="20" spans="1:9">
      <c r="A20" s="18" t="s">
        <v>21</v>
      </c>
      <c r="B20" s="19">
        <v>361900</v>
      </c>
      <c r="C20" s="19">
        <v>550000</v>
      </c>
      <c r="D20" s="20">
        <f t="shared" si="0"/>
        <v>188100</v>
      </c>
      <c r="E20" s="21">
        <f>(C20-B20)/B20</f>
        <v>0.51975683890577506</v>
      </c>
    </row>
    <row r="21" spans="1:9">
      <c r="A21" s="18" t="s">
        <v>22</v>
      </c>
      <c r="B21" s="19">
        <v>35000</v>
      </c>
      <c r="C21" s="19">
        <v>143000</v>
      </c>
      <c r="D21" s="20">
        <f t="shared" si="0"/>
        <v>108000</v>
      </c>
      <c r="E21" s="21">
        <f>(D21-B21)/B21</f>
        <v>2.0857142857142859</v>
      </c>
    </row>
    <row r="22" spans="1:9">
      <c r="A22" s="18" t="s">
        <v>23</v>
      </c>
      <c r="B22" s="19">
        <v>0</v>
      </c>
      <c r="C22" s="19">
        <v>1000</v>
      </c>
      <c r="D22" s="20">
        <f t="shared" si="0"/>
        <v>1000</v>
      </c>
      <c r="E22" s="22">
        <v>0</v>
      </c>
    </row>
    <row r="23" spans="1:9">
      <c r="A23" s="18" t="s">
        <v>85</v>
      </c>
      <c r="B23" s="19">
        <v>630</v>
      </c>
      <c r="C23" s="19">
        <v>17865</v>
      </c>
      <c r="D23" s="20">
        <f t="shared" si="0"/>
        <v>17235</v>
      </c>
      <c r="E23" s="21">
        <f t="shared" ref="E23:E29" si="1">(C23-B23)/B23</f>
        <v>27.357142857142858</v>
      </c>
    </row>
    <row r="24" spans="1:9">
      <c r="A24" s="18" t="s">
        <v>24</v>
      </c>
      <c r="B24" s="19">
        <v>1000</v>
      </c>
      <c r="C24" s="19">
        <v>5000</v>
      </c>
      <c r="D24" s="20">
        <f>C24-E32</f>
        <v>4999.7545514476615</v>
      </c>
      <c r="E24" s="21">
        <f t="shared" si="1"/>
        <v>4</v>
      </c>
    </row>
    <row r="25" spans="1:9">
      <c r="A25" s="18" t="s">
        <v>25</v>
      </c>
      <c r="B25" s="19">
        <v>9500</v>
      </c>
      <c r="C25" s="19">
        <v>77168</v>
      </c>
      <c r="D25" s="20">
        <f>C25-B25</f>
        <v>67668</v>
      </c>
      <c r="E25" s="21">
        <f t="shared" si="1"/>
        <v>7.1229473684210527</v>
      </c>
      <c r="F25" s="7" t="s">
        <v>26</v>
      </c>
      <c r="G25" s="7" t="s">
        <v>27</v>
      </c>
      <c r="H25" s="7" t="s">
        <v>86</v>
      </c>
      <c r="I25" s="7" t="s">
        <v>29</v>
      </c>
    </row>
    <row r="26" spans="1:9">
      <c r="A26" s="18" t="s">
        <v>30</v>
      </c>
      <c r="B26" s="19">
        <v>220</v>
      </c>
      <c r="C26" s="19">
        <v>45478</v>
      </c>
      <c r="D26" s="19">
        <v>16258</v>
      </c>
      <c r="E26" s="21">
        <f t="shared" si="1"/>
        <v>205.71818181818182</v>
      </c>
      <c r="F26" s="7">
        <v>3800</v>
      </c>
      <c r="H26" s="7">
        <v>1367</v>
      </c>
      <c r="I26" s="7">
        <v>39300</v>
      </c>
    </row>
    <row r="27" spans="1:9">
      <c r="A27" s="18" t="s">
        <v>31</v>
      </c>
      <c r="B27" s="19">
        <v>17000</v>
      </c>
      <c r="C27" s="19">
        <v>8598</v>
      </c>
      <c r="D27" s="20">
        <f t="shared" ref="D27:D32" si="2">C27-B27</f>
        <v>-8402</v>
      </c>
      <c r="E27" s="21">
        <f t="shared" si="1"/>
        <v>-0.49423529411764705</v>
      </c>
      <c r="F27" s="7" t="s">
        <v>32</v>
      </c>
      <c r="G27" s="7" t="s">
        <v>87</v>
      </c>
    </row>
    <row r="28" spans="1:9">
      <c r="A28" s="18" t="s">
        <v>33</v>
      </c>
      <c r="B28" s="19">
        <v>1000</v>
      </c>
      <c r="C28" s="19">
        <v>20250</v>
      </c>
      <c r="D28" s="20">
        <f t="shared" si="2"/>
        <v>19250</v>
      </c>
      <c r="E28" s="21">
        <f t="shared" si="1"/>
        <v>19.25</v>
      </c>
      <c r="F28" s="7">
        <v>511</v>
      </c>
      <c r="G28" s="7">
        <v>600</v>
      </c>
    </row>
    <row r="29" spans="1:9">
      <c r="A29" s="18" t="s">
        <v>34</v>
      </c>
      <c r="B29" s="19">
        <v>60000</v>
      </c>
      <c r="C29" s="19">
        <v>28000</v>
      </c>
      <c r="D29" s="20">
        <f t="shared" si="2"/>
        <v>-32000</v>
      </c>
      <c r="E29" s="21">
        <f t="shared" si="1"/>
        <v>-0.53333333333333333</v>
      </c>
      <c r="F29">
        <f>SUM(F26,H26,I26,F28,G28)</f>
        <v>45578</v>
      </c>
    </row>
    <row r="30" spans="1:9">
      <c r="A30" s="18" t="s">
        <v>36</v>
      </c>
      <c r="B30" s="19">
        <v>0</v>
      </c>
      <c r="C30" s="19">
        <v>110</v>
      </c>
      <c r="D30" s="20">
        <f t="shared" si="2"/>
        <v>110</v>
      </c>
      <c r="E30" s="23" t="s">
        <v>37</v>
      </c>
      <c r="F30" s="7" t="s">
        <v>38</v>
      </c>
      <c r="G30" s="7" t="s">
        <v>88</v>
      </c>
    </row>
    <row r="31" spans="1:9">
      <c r="A31" s="18" t="s">
        <v>40</v>
      </c>
      <c r="B31" s="19">
        <v>45000</v>
      </c>
      <c r="C31" s="19">
        <v>130000</v>
      </c>
      <c r="D31" s="20">
        <f t="shared" si="2"/>
        <v>85000</v>
      </c>
      <c r="E31" s="21">
        <f t="shared" ref="E31:E32" si="3">(D31-B31)/B31</f>
        <v>0.88888888888888884</v>
      </c>
      <c r="F31" s="7">
        <v>3198</v>
      </c>
      <c r="G31" s="7">
        <v>5400</v>
      </c>
    </row>
    <row r="32" spans="1:9">
      <c r="A32" s="24" t="s">
        <v>41</v>
      </c>
      <c r="B32" s="20">
        <f t="shared" ref="B32:C32" si="4">SUM(B19:B31)</f>
        <v>561250</v>
      </c>
      <c r="C32" s="20">
        <f t="shared" si="4"/>
        <v>1260258</v>
      </c>
      <c r="D32" s="20">
        <f t="shared" si="2"/>
        <v>699008</v>
      </c>
      <c r="E32" s="21">
        <f t="shared" si="3"/>
        <v>0.24544855233853008</v>
      </c>
    </row>
    <row r="33" spans="1:8">
      <c r="A33" s="25" t="s">
        <v>42</v>
      </c>
      <c r="B33" s="26" t="s">
        <v>43</v>
      </c>
      <c r="C33" s="26" t="s">
        <v>44</v>
      </c>
      <c r="D33" s="26" t="s">
        <v>45</v>
      </c>
      <c r="E33" s="25" t="s">
        <v>16</v>
      </c>
    </row>
    <row r="34" spans="1:8">
      <c r="A34" s="27" t="s">
        <v>46</v>
      </c>
      <c r="B34" s="28">
        <v>343000</v>
      </c>
      <c r="C34" s="28">
        <v>273000</v>
      </c>
      <c r="D34" s="29">
        <f t="shared" ref="D34:D37" si="5">B34-C34</f>
        <v>70000</v>
      </c>
      <c r="E34" s="30">
        <f>D34/B34</f>
        <v>0.20408163265306123</v>
      </c>
    </row>
    <row r="35" spans="1:8">
      <c r="A35" s="27" t="s">
        <v>47</v>
      </c>
      <c r="B35" s="28">
        <v>0</v>
      </c>
      <c r="C35" s="28">
        <v>0</v>
      </c>
      <c r="D35" s="29">
        <f t="shared" si="5"/>
        <v>0</v>
      </c>
      <c r="E35" s="30"/>
    </row>
    <row r="36" spans="1:8">
      <c r="A36" s="27" t="s">
        <v>40</v>
      </c>
      <c r="B36" s="28">
        <v>36000</v>
      </c>
      <c r="C36" s="28">
        <v>29084</v>
      </c>
      <c r="D36" s="29">
        <f t="shared" si="5"/>
        <v>6916</v>
      </c>
      <c r="E36" s="30">
        <f t="shared" ref="E36:E38" si="6">D36/B36</f>
        <v>0.19211111111111112</v>
      </c>
    </row>
    <row r="37" spans="1:8">
      <c r="A37" s="27" t="s">
        <v>48</v>
      </c>
      <c r="B37" s="29">
        <f t="shared" ref="B37:C37" si="7">SUM(B34:B36)</f>
        <v>379000</v>
      </c>
      <c r="C37" s="29">
        <f t="shared" si="7"/>
        <v>302084</v>
      </c>
      <c r="D37" s="29">
        <f t="shared" si="5"/>
        <v>76916</v>
      </c>
      <c r="E37" s="30">
        <f t="shared" si="6"/>
        <v>0.20294459102902374</v>
      </c>
    </row>
    <row r="38" spans="1:8">
      <c r="A38" s="31" t="s">
        <v>49</v>
      </c>
      <c r="B38" s="32">
        <f t="shared" ref="B38:C38" si="8">B32-B37</f>
        <v>182250</v>
      </c>
      <c r="C38" s="33">
        <f t="shared" si="8"/>
        <v>958174</v>
      </c>
      <c r="D38" s="32">
        <f>C38-B38</f>
        <v>775924</v>
      </c>
      <c r="E38" s="34">
        <f t="shared" si="6"/>
        <v>4.257470507544582</v>
      </c>
    </row>
    <row r="40" spans="1:8">
      <c r="A40" s="12"/>
      <c r="B40" s="12"/>
    </row>
    <row r="41" spans="1:8">
      <c r="A41" s="35"/>
      <c r="B41" s="13" t="s">
        <v>50</v>
      </c>
      <c r="C41" s="13" t="s">
        <v>89</v>
      </c>
      <c r="D41" s="13" t="s">
        <v>90</v>
      </c>
      <c r="E41" s="14" t="s">
        <v>91</v>
      </c>
      <c r="F41" s="13" t="s">
        <v>54</v>
      </c>
      <c r="G41" s="13" t="s">
        <v>55</v>
      </c>
      <c r="H41" s="13" t="s">
        <v>56</v>
      </c>
    </row>
    <row r="42" spans="1:8">
      <c r="A42" s="36" t="s">
        <v>19</v>
      </c>
      <c r="B42" s="17" t="s">
        <v>19</v>
      </c>
      <c r="C42" s="17" t="s">
        <v>19</v>
      </c>
      <c r="D42" s="17" t="s">
        <v>19</v>
      </c>
      <c r="E42" s="17" t="s">
        <v>19</v>
      </c>
      <c r="F42" s="17" t="s">
        <v>19</v>
      </c>
      <c r="G42" s="16" t="s">
        <v>19</v>
      </c>
      <c r="H42" s="16" t="s">
        <v>19</v>
      </c>
    </row>
    <row r="43" spans="1:8">
      <c r="A43" s="18" t="s">
        <v>20</v>
      </c>
      <c r="B43" s="19">
        <v>181598</v>
      </c>
      <c r="C43" s="19">
        <v>183337</v>
      </c>
      <c r="D43" s="19">
        <v>195012</v>
      </c>
      <c r="E43" s="19">
        <v>208224</v>
      </c>
      <c r="F43" s="19">
        <v>225874</v>
      </c>
      <c r="G43" s="19">
        <v>231480</v>
      </c>
      <c r="H43" s="19">
        <v>233789</v>
      </c>
    </row>
    <row r="44" spans="1:8">
      <c r="A44" s="18" t="s">
        <v>21</v>
      </c>
      <c r="B44" s="19">
        <v>550000</v>
      </c>
      <c r="C44" s="19">
        <v>550000</v>
      </c>
      <c r="D44" s="19">
        <v>550000</v>
      </c>
      <c r="E44" s="19">
        <v>550000</v>
      </c>
      <c r="F44" s="19">
        <v>550000</v>
      </c>
      <c r="G44" s="19">
        <v>550000</v>
      </c>
      <c r="H44" s="19">
        <v>550000</v>
      </c>
    </row>
    <row r="45" spans="1:8">
      <c r="A45" s="18" t="s">
        <v>22</v>
      </c>
      <c r="B45" s="19">
        <v>114000</v>
      </c>
      <c r="C45" s="19">
        <v>127500</v>
      </c>
      <c r="D45" s="19">
        <v>135871</v>
      </c>
      <c r="E45" s="19">
        <v>145300</v>
      </c>
      <c r="F45" s="19">
        <v>162000</v>
      </c>
      <c r="G45" s="19">
        <v>146000</v>
      </c>
      <c r="H45" s="19">
        <v>143000</v>
      </c>
    </row>
    <row r="46" spans="1:8">
      <c r="A46" s="18" t="s">
        <v>57</v>
      </c>
      <c r="B46" s="19">
        <v>2000</v>
      </c>
      <c r="C46" s="19">
        <v>1200</v>
      </c>
      <c r="D46" s="19">
        <v>3700</v>
      </c>
      <c r="E46" s="19">
        <v>0</v>
      </c>
      <c r="F46" s="19">
        <v>2000</v>
      </c>
      <c r="G46" s="19">
        <v>1000</v>
      </c>
      <c r="H46" s="19">
        <v>1000</v>
      </c>
    </row>
    <row r="47" spans="1:8">
      <c r="A47" s="18" t="s">
        <v>92</v>
      </c>
      <c r="B47" s="19">
        <v>20343</v>
      </c>
      <c r="C47" s="19">
        <v>20343</v>
      </c>
      <c r="D47" s="19">
        <v>15408</v>
      </c>
      <c r="E47" s="19">
        <v>20000</v>
      </c>
      <c r="F47" s="19">
        <v>18000</v>
      </c>
      <c r="G47" s="19">
        <v>18000</v>
      </c>
      <c r="H47" s="19">
        <v>17865</v>
      </c>
    </row>
    <row r="48" spans="1:8">
      <c r="A48" s="18" t="s">
        <v>24</v>
      </c>
      <c r="B48" s="19">
        <v>5000</v>
      </c>
      <c r="C48" s="19">
        <v>5000</v>
      </c>
      <c r="D48" s="19">
        <v>5000</v>
      </c>
      <c r="E48" s="19">
        <v>5000</v>
      </c>
      <c r="F48" s="19">
        <v>5000</v>
      </c>
      <c r="G48" s="19">
        <v>5000</v>
      </c>
      <c r="H48" s="19">
        <v>5000</v>
      </c>
    </row>
    <row r="49" spans="1:8">
      <c r="A49" s="18" t="s">
        <v>58</v>
      </c>
      <c r="B49" s="19">
        <v>58000</v>
      </c>
      <c r="C49" s="19">
        <v>58000</v>
      </c>
      <c r="D49" s="19">
        <v>55000</v>
      </c>
      <c r="E49" s="19">
        <v>55500</v>
      </c>
      <c r="F49" s="19">
        <v>50573</v>
      </c>
      <c r="G49" s="19">
        <v>61400</v>
      </c>
      <c r="H49" s="19">
        <v>77168</v>
      </c>
    </row>
    <row r="50" spans="1:8">
      <c r="A50" s="18" t="s">
        <v>30</v>
      </c>
      <c r="B50" s="19">
        <v>8900</v>
      </c>
      <c r="C50" s="19">
        <v>10220</v>
      </c>
      <c r="D50" s="19">
        <f>5070+15661+1300</f>
        <v>22031</v>
      </c>
      <c r="E50" s="19">
        <v>19555</v>
      </c>
      <c r="F50" s="19">
        <v>16258</v>
      </c>
      <c r="G50" s="19">
        <v>32886</v>
      </c>
      <c r="H50" s="19">
        <v>45478</v>
      </c>
    </row>
    <row r="51" spans="1:8">
      <c r="A51" s="18" t="s">
        <v>31</v>
      </c>
      <c r="B51" s="19">
        <v>5839</v>
      </c>
      <c r="C51" s="19">
        <v>5787</v>
      </c>
      <c r="D51" s="19">
        <v>5123</v>
      </c>
      <c r="E51" s="19">
        <v>5213</v>
      </c>
      <c r="F51" s="19">
        <v>4586</v>
      </c>
      <c r="G51" s="19">
        <v>6841</v>
      </c>
      <c r="H51" s="19">
        <v>8598</v>
      </c>
    </row>
    <row r="52" spans="1:8">
      <c r="A52" s="18" t="s">
        <v>59</v>
      </c>
      <c r="B52" s="19">
        <v>6450</v>
      </c>
      <c r="C52" s="19">
        <v>6266</v>
      </c>
      <c r="D52" s="19">
        <v>6672</v>
      </c>
      <c r="E52" s="19">
        <v>8263</v>
      </c>
      <c r="F52" s="19">
        <v>8396</v>
      </c>
      <c r="G52" s="19">
        <v>18583</v>
      </c>
      <c r="H52" s="19">
        <v>20250</v>
      </c>
    </row>
    <row r="53" spans="1:8">
      <c r="A53" s="18" t="s">
        <v>34</v>
      </c>
      <c r="B53" s="19">
        <v>40000</v>
      </c>
      <c r="C53" s="19">
        <v>40000</v>
      </c>
      <c r="D53" s="19">
        <v>30000</v>
      </c>
      <c r="E53" s="19">
        <v>30000</v>
      </c>
      <c r="F53" s="19">
        <v>30000</v>
      </c>
      <c r="G53" s="19">
        <v>30000</v>
      </c>
      <c r="H53" s="19">
        <v>28000</v>
      </c>
    </row>
    <row r="54" spans="1:8">
      <c r="A54" s="18" t="s">
        <v>36</v>
      </c>
      <c r="B54" s="19">
        <v>500</v>
      </c>
      <c r="C54" s="19">
        <v>500</v>
      </c>
      <c r="D54" s="19">
        <v>500</v>
      </c>
      <c r="E54" s="19">
        <v>400</v>
      </c>
      <c r="F54" s="19">
        <v>160</v>
      </c>
      <c r="G54" s="19">
        <v>120</v>
      </c>
      <c r="H54" s="19">
        <v>110</v>
      </c>
    </row>
    <row r="55" spans="1:8">
      <c r="A55" s="18" t="s">
        <v>60</v>
      </c>
      <c r="B55" s="19">
        <v>130000</v>
      </c>
      <c r="C55" s="19">
        <v>130000</v>
      </c>
      <c r="D55" s="19">
        <v>130000</v>
      </c>
      <c r="E55" s="19">
        <v>130000</v>
      </c>
      <c r="F55" s="19">
        <v>130000</v>
      </c>
      <c r="G55" s="19">
        <v>130000</v>
      </c>
      <c r="H55" s="19">
        <v>130000</v>
      </c>
    </row>
    <row r="56" spans="1:8">
      <c r="A56" s="24" t="s">
        <v>41</v>
      </c>
      <c r="B56" s="20">
        <f t="shared" ref="B56:H56" si="9">SUM(B43:B55)</f>
        <v>1122630</v>
      </c>
      <c r="C56" s="20">
        <f t="shared" si="9"/>
        <v>1138153</v>
      </c>
      <c r="D56" s="20">
        <f t="shared" si="9"/>
        <v>1154317</v>
      </c>
      <c r="E56" s="20">
        <f t="shared" si="9"/>
        <v>1177455</v>
      </c>
      <c r="F56" s="20">
        <f t="shared" si="9"/>
        <v>1202847</v>
      </c>
      <c r="G56" s="20">
        <f t="shared" si="9"/>
        <v>1231310</v>
      </c>
      <c r="H56" s="20">
        <f t="shared" si="9"/>
        <v>1260258</v>
      </c>
    </row>
    <row r="57" spans="1:8">
      <c r="A57" s="25" t="s">
        <v>42</v>
      </c>
      <c r="B57" s="26" t="s">
        <v>44</v>
      </c>
      <c r="C57" s="26" t="s">
        <v>44</v>
      </c>
      <c r="D57" s="26" t="s">
        <v>44</v>
      </c>
      <c r="E57" s="26" t="s">
        <v>44</v>
      </c>
      <c r="F57" s="26"/>
      <c r="G57" s="26" t="s">
        <v>44</v>
      </c>
      <c r="H57" s="26" t="s">
        <v>44</v>
      </c>
    </row>
    <row r="58" spans="1:8">
      <c r="A58" s="27" t="s">
        <v>46</v>
      </c>
      <c r="B58" s="28">
        <v>282235.99</v>
      </c>
      <c r="C58" s="28">
        <v>280000</v>
      </c>
      <c r="D58" s="28">
        <v>279000</v>
      </c>
      <c r="E58" s="28">
        <v>277000</v>
      </c>
      <c r="F58" s="28">
        <v>275000</v>
      </c>
      <c r="G58" s="28">
        <v>274000</v>
      </c>
      <c r="H58" s="28">
        <v>273000</v>
      </c>
    </row>
    <row r="59" spans="1:8">
      <c r="A59" s="27" t="s">
        <v>47</v>
      </c>
      <c r="B59" s="28">
        <v>2000</v>
      </c>
      <c r="C59" s="28">
        <v>0</v>
      </c>
      <c r="D59" s="28">
        <v>0</v>
      </c>
      <c r="E59" s="28">
        <v>3600</v>
      </c>
      <c r="F59" s="28">
        <v>5000</v>
      </c>
      <c r="G59" s="28">
        <v>3600</v>
      </c>
      <c r="H59" s="28">
        <v>0</v>
      </c>
    </row>
    <row r="60" spans="1:8">
      <c r="A60" s="27" t="s">
        <v>60</v>
      </c>
      <c r="B60" s="28">
        <v>30000</v>
      </c>
      <c r="C60" s="28">
        <v>30000</v>
      </c>
      <c r="D60" s="28">
        <v>30000</v>
      </c>
      <c r="E60" s="28">
        <v>29800</v>
      </c>
      <c r="F60" s="28">
        <v>29400</v>
      </c>
      <c r="G60" s="28">
        <v>29400</v>
      </c>
      <c r="H60" s="28">
        <v>29084</v>
      </c>
    </row>
    <row r="61" spans="1:8">
      <c r="A61" s="27" t="s">
        <v>48</v>
      </c>
      <c r="B61" s="29">
        <f t="shared" ref="B61:F61" si="10">SUM(B58:B60)</f>
        <v>314235.99</v>
      </c>
      <c r="C61" s="29">
        <f t="shared" si="10"/>
        <v>310000</v>
      </c>
      <c r="D61" s="29">
        <f t="shared" si="10"/>
        <v>309000</v>
      </c>
      <c r="E61" s="29">
        <f t="shared" si="10"/>
        <v>310400</v>
      </c>
      <c r="F61" s="29">
        <f t="shared" si="10"/>
        <v>309400</v>
      </c>
      <c r="G61" s="29">
        <v>309400</v>
      </c>
      <c r="H61" s="29">
        <f>SUM(H58:H60)</f>
        <v>302084</v>
      </c>
    </row>
    <row r="62" spans="1:8">
      <c r="A62" s="31" t="s">
        <v>61</v>
      </c>
      <c r="B62" s="32">
        <f t="shared" ref="B62:H62" si="11">B56-B61</f>
        <v>808394.01</v>
      </c>
      <c r="C62" s="32">
        <f t="shared" si="11"/>
        <v>828153</v>
      </c>
      <c r="D62" s="32">
        <f t="shared" si="11"/>
        <v>845317</v>
      </c>
      <c r="E62" s="32">
        <f t="shared" si="11"/>
        <v>867055</v>
      </c>
      <c r="F62" s="32">
        <f t="shared" si="11"/>
        <v>893447</v>
      </c>
      <c r="G62" s="33">
        <f t="shared" si="11"/>
        <v>921910</v>
      </c>
      <c r="H62" s="33">
        <f t="shared" si="11"/>
        <v>958174</v>
      </c>
    </row>
    <row r="63" spans="1:8">
      <c r="A63" s="37"/>
      <c r="B63" s="37"/>
      <c r="C63" s="37"/>
      <c r="D63" s="37"/>
    </row>
    <row r="64" spans="1:8">
      <c r="A64" s="37"/>
      <c r="B64" s="37"/>
      <c r="C64" s="37"/>
      <c r="D64" s="37"/>
    </row>
    <row r="65" spans="1:8">
      <c r="A65" s="11" t="s">
        <v>93</v>
      </c>
      <c r="B65" s="37"/>
      <c r="C65" s="37"/>
      <c r="D65" s="37"/>
    </row>
    <row r="66" spans="1:8">
      <c r="A66" s="35"/>
      <c r="B66" s="13" t="s">
        <v>94</v>
      </c>
      <c r="C66" s="13" t="s">
        <v>91</v>
      </c>
      <c r="D66" s="13" t="s">
        <v>64</v>
      </c>
      <c r="E66" s="13" t="s">
        <v>95</v>
      </c>
      <c r="F66" s="13" t="s">
        <v>96</v>
      </c>
      <c r="G66" s="13" t="s">
        <v>97</v>
      </c>
      <c r="H66" s="13" t="s">
        <v>56</v>
      </c>
    </row>
    <row r="67" spans="1:8">
      <c r="A67" s="36" t="s">
        <v>19</v>
      </c>
      <c r="B67" s="17" t="s">
        <v>19</v>
      </c>
      <c r="C67" s="17" t="s">
        <v>19</v>
      </c>
      <c r="D67" s="17" t="s">
        <v>19</v>
      </c>
      <c r="E67" s="17" t="s">
        <v>19</v>
      </c>
      <c r="F67" s="17" t="s">
        <v>19</v>
      </c>
      <c r="G67" s="16" t="s">
        <v>19</v>
      </c>
      <c r="H67" s="16" t="s">
        <v>19</v>
      </c>
    </row>
    <row r="68" spans="1:8">
      <c r="A68" s="18" t="s">
        <v>35</v>
      </c>
      <c r="B68" s="19">
        <v>1703</v>
      </c>
      <c r="C68" s="19">
        <v>1942</v>
      </c>
      <c r="D68" s="19">
        <v>2185</v>
      </c>
      <c r="E68" s="19">
        <v>2289</v>
      </c>
      <c r="F68" s="19">
        <v>2414</v>
      </c>
      <c r="G68" s="19">
        <v>2500</v>
      </c>
      <c r="H68" s="19">
        <v>2700</v>
      </c>
    </row>
    <row r="69" spans="1:8">
      <c r="A69" s="37"/>
      <c r="B69" s="37"/>
      <c r="C69" s="37"/>
      <c r="D69" s="37"/>
    </row>
    <row r="70" spans="1:8">
      <c r="A70" s="37"/>
      <c r="B70" s="37"/>
      <c r="C70" s="37"/>
      <c r="D70" s="37"/>
    </row>
    <row r="71" spans="1:8">
      <c r="A71" s="37"/>
      <c r="B71" s="37"/>
      <c r="C71" s="37"/>
      <c r="D71" s="37"/>
    </row>
    <row r="72" spans="1:8">
      <c r="C72" s="7"/>
      <c r="D72" s="7"/>
      <c r="E72" s="7"/>
      <c r="G72" s="7"/>
    </row>
    <row r="73" spans="1:8">
      <c r="C73" s="7" t="s">
        <v>66</v>
      </c>
      <c r="G73" s="7" t="s">
        <v>98</v>
      </c>
    </row>
    <row r="74" spans="1:8">
      <c r="B74" s="7" t="s">
        <v>22</v>
      </c>
      <c r="C74" s="40">
        <v>100000</v>
      </c>
      <c r="G74" s="7" t="s">
        <v>99</v>
      </c>
      <c r="H74" s="7">
        <v>10000</v>
      </c>
    </row>
    <row r="75" spans="1:8">
      <c r="B75" s="7" t="s">
        <v>100</v>
      </c>
      <c r="C75" s="40">
        <v>10000</v>
      </c>
      <c r="G75" s="7" t="s">
        <v>46</v>
      </c>
      <c r="H75" s="7">
        <v>12000</v>
      </c>
    </row>
    <row r="76" spans="1:8">
      <c r="B76" s="7" t="s">
        <v>101</v>
      </c>
      <c r="C76" s="7">
        <v>18660</v>
      </c>
      <c r="G76" s="7" t="s">
        <v>82</v>
      </c>
      <c r="H76" s="7">
        <v>5000</v>
      </c>
    </row>
    <row r="77" spans="1:8">
      <c r="B77" s="7" t="s">
        <v>102</v>
      </c>
      <c r="C77" s="7">
        <v>18000</v>
      </c>
      <c r="G77" s="7" t="s">
        <v>103</v>
      </c>
      <c r="H77" s="7">
        <v>20000</v>
      </c>
    </row>
    <row r="78" spans="1:8">
      <c r="B78" s="7" t="s">
        <v>104</v>
      </c>
      <c r="C78" s="7">
        <v>12000</v>
      </c>
      <c r="G78" s="7" t="s">
        <v>105</v>
      </c>
      <c r="H78" s="7">
        <v>10000</v>
      </c>
    </row>
    <row r="79" spans="1:8">
      <c r="B79" s="7" t="s">
        <v>106</v>
      </c>
      <c r="C79" s="7">
        <v>10000</v>
      </c>
      <c r="G79" s="7" t="s">
        <v>107</v>
      </c>
      <c r="H79" s="7">
        <v>10000</v>
      </c>
    </row>
    <row r="81" spans="1:5">
      <c r="A81" s="43" t="s">
        <v>108</v>
      </c>
      <c r="B81" s="44" t="s">
        <v>1</v>
      </c>
      <c r="C81" s="44" t="s">
        <v>109</v>
      </c>
      <c r="D81" s="44" t="s">
        <v>110</v>
      </c>
      <c r="E81" s="45">
        <v>2025</v>
      </c>
    </row>
    <row r="82" spans="1:5">
      <c r="A82" s="46" t="s">
        <v>111</v>
      </c>
      <c r="B82" s="47">
        <v>1500</v>
      </c>
      <c r="C82" s="46" t="s">
        <v>112</v>
      </c>
      <c r="D82" s="48" t="s">
        <v>113</v>
      </c>
      <c r="E82">
        <f t="shared" ref="E82:E99" si="12">B82*12</f>
        <v>18000</v>
      </c>
    </row>
    <row r="83" spans="1:5">
      <c r="A83" s="46" t="s">
        <v>60</v>
      </c>
      <c r="B83" s="47">
        <v>300</v>
      </c>
      <c r="C83" s="46" t="s">
        <v>112</v>
      </c>
      <c r="D83" s="48" t="s">
        <v>113</v>
      </c>
      <c r="E83">
        <f t="shared" si="12"/>
        <v>3600</v>
      </c>
    </row>
    <row r="84" spans="1:5">
      <c r="A84" s="46" t="s">
        <v>114</v>
      </c>
      <c r="B84" s="47">
        <v>0</v>
      </c>
      <c r="C84" s="46" t="s">
        <v>115</v>
      </c>
      <c r="D84" s="48" t="s">
        <v>113</v>
      </c>
      <c r="E84">
        <f t="shared" si="12"/>
        <v>0</v>
      </c>
    </row>
    <row r="85" spans="1:5">
      <c r="A85" s="46" t="s">
        <v>116</v>
      </c>
      <c r="B85" s="47">
        <v>250</v>
      </c>
      <c r="C85" s="46" t="s">
        <v>117</v>
      </c>
      <c r="D85" s="48" t="s">
        <v>118</v>
      </c>
      <c r="E85">
        <f t="shared" si="12"/>
        <v>3000</v>
      </c>
    </row>
    <row r="86" spans="1:5">
      <c r="A86" s="46" t="s">
        <v>119</v>
      </c>
      <c r="B86" s="47">
        <v>60</v>
      </c>
      <c r="C86" s="46" t="s">
        <v>120</v>
      </c>
      <c r="D86" s="48" t="s">
        <v>118</v>
      </c>
      <c r="E86">
        <f t="shared" si="12"/>
        <v>720</v>
      </c>
    </row>
    <row r="87" spans="1:5">
      <c r="A87" s="46" t="s">
        <v>121</v>
      </c>
      <c r="B87" s="47">
        <v>125</v>
      </c>
      <c r="C87" s="46" t="s">
        <v>122</v>
      </c>
      <c r="D87" s="48" t="s">
        <v>118</v>
      </c>
      <c r="E87">
        <f t="shared" si="12"/>
        <v>1500</v>
      </c>
    </row>
    <row r="88" spans="1:5">
      <c r="A88" s="46" t="s">
        <v>123</v>
      </c>
      <c r="B88" s="47">
        <v>40</v>
      </c>
      <c r="C88" s="46" t="s">
        <v>112</v>
      </c>
      <c r="D88" s="48" t="s">
        <v>118</v>
      </c>
      <c r="E88">
        <f t="shared" si="12"/>
        <v>480</v>
      </c>
    </row>
    <row r="89" spans="1:5">
      <c r="A89" s="46" t="s">
        <v>124</v>
      </c>
      <c r="B89" s="47">
        <v>38.85</v>
      </c>
      <c r="C89" s="46" t="s">
        <v>112</v>
      </c>
      <c r="D89" s="48" t="s">
        <v>125</v>
      </c>
      <c r="E89">
        <f t="shared" si="12"/>
        <v>466.20000000000005</v>
      </c>
    </row>
    <row r="90" spans="1:5">
      <c r="A90" s="46" t="s">
        <v>126</v>
      </c>
      <c r="B90" s="47">
        <v>80</v>
      </c>
      <c r="C90" s="47" t="s">
        <v>127</v>
      </c>
      <c r="D90" s="48" t="s">
        <v>125</v>
      </c>
      <c r="E90">
        <f t="shared" si="12"/>
        <v>960</v>
      </c>
    </row>
    <row r="91" spans="1:5">
      <c r="A91" s="46" t="s">
        <v>128</v>
      </c>
      <c r="B91" s="47">
        <v>90</v>
      </c>
      <c r="C91" s="47" t="s">
        <v>120</v>
      </c>
      <c r="D91" s="48" t="s">
        <v>125</v>
      </c>
      <c r="E91">
        <f t="shared" si="12"/>
        <v>1080</v>
      </c>
    </row>
    <row r="92" spans="1:5">
      <c r="A92" s="46" t="s">
        <v>129</v>
      </c>
      <c r="B92" s="47">
        <v>10</v>
      </c>
      <c r="C92" s="47" t="s">
        <v>130</v>
      </c>
      <c r="D92" s="48" t="s">
        <v>125</v>
      </c>
      <c r="E92">
        <f t="shared" si="12"/>
        <v>120</v>
      </c>
    </row>
    <row r="93" spans="1:5">
      <c r="A93" s="46" t="s">
        <v>131</v>
      </c>
      <c r="B93" s="47">
        <v>40</v>
      </c>
      <c r="C93" s="47" t="s">
        <v>130</v>
      </c>
      <c r="D93" s="48" t="s">
        <v>125</v>
      </c>
      <c r="E93">
        <f t="shared" si="12"/>
        <v>480</v>
      </c>
    </row>
    <row r="94" spans="1:5">
      <c r="A94" s="46" t="s">
        <v>132</v>
      </c>
      <c r="B94" s="49">
        <v>37.880000000000003</v>
      </c>
      <c r="C94" s="47" t="s">
        <v>133</v>
      </c>
      <c r="D94" s="47" t="s">
        <v>118</v>
      </c>
      <c r="E94">
        <f t="shared" si="12"/>
        <v>454.56000000000006</v>
      </c>
    </row>
    <row r="95" spans="1:5">
      <c r="A95" s="46" t="s">
        <v>134</v>
      </c>
      <c r="B95" s="47">
        <v>5.4</v>
      </c>
      <c r="C95" s="47" t="s">
        <v>115</v>
      </c>
      <c r="D95" s="47" t="s">
        <v>118</v>
      </c>
      <c r="E95">
        <f t="shared" si="12"/>
        <v>64.800000000000011</v>
      </c>
    </row>
    <row r="96" spans="1:5">
      <c r="A96" s="46" t="s">
        <v>135</v>
      </c>
      <c r="B96" s="47">
        <v>500</v>
      </c>
      <c r="C96" s="47" t="s">
        <v>69</v>
      </c>
      <c r="D96" s="47" t="s">
        <v>136</v>
      </c>
      <c r="E96">
        <f t="shared" si="12"/>
        <v>6000</v>
      </c>
    </row>
    <row r="97" spans="1:5">
      <c r="A97" s="46" t="s">
        <v>137</v>
      </c>
      <c r="B97" s="47">
        <v>220</v>
      </c>
      <c r="C97" s="47" t="s">
        <v>138</v>
      </c>
      <c r="D97" s="47" t="s">
        <v>125</v>
      </c>
      <c r="E97">
        <f t="shared" si="12"/>
        <v>2640</v>
      </c>
    </row>
    <row r="98" spans="1:5">
      <c r="A98" s="46" t="s">
        <v>139</v>
      </c>
      <c r="B98" s="47">
        <v>21.99</v>
      </c>
      <c r="C98" s="47" t="s">
        <v>140</v>
      </c>
      <c r="D98" s="47" t="s">
        <v>125</v>
      </c>
      <c r="E98">
        <f t="shared" si="12"/>
        <v>263.88</v>
      </c>
    </row>
    <row r="99" spans="1:5">
      <c r="A99" s="46" t="s">
        <v>141</v>
      </c>
      <c r="B99" s="47">
        <v>21.38</v>
      </c>
      <c r="C99" s="47" t="s">
        <v>142</v>
      </c>
      <c r="D99" s="47" t="s">
        <v>125</v>
      </c>
      <c r="E99">
        <f t="shared" si="12"/>
        <v>256.56</v>
      </c>
    </row>
    <row r="100" spans="1:5">
      <c r="A100" s="46"/>
      <c r="B100" s="47"/>
      <c r="C100" s="47"/>
      <c r="D100" s="47"/>
    </row>
    <row r="101" spans="1:5">
      <c r="A101" s="50" t="s">
        <v>84</v>
      </c>
      <c r="B101" s="47"/>
      <c r="C101" s="47"/>
      <c r="D101" s="47"/>
    </row>
    <row r="102" spans="1:5">
      <c r="A102" s="51" t="s">
        <v>143</v>
      </c>
      <c r="B102" s="44" t="s">
        <v>1</v>
      </c>
      <c r="C102" s="44" t="s">
        <v>109</v>
      </c>
      <c r="D102" s="44" t="s">
        <v>110</v>
      </c>
      <c r="E102">
        <f>SUM(E82:E99)</f>
        <v>40085.999999999993</v>
      </c>
    </row>
    <row r="103" spans="1:5">
      <c r="A103" s="46" t="s">
        <v>144</v>
      </c>
      <c r="B103" s="49">
        <v>780</v>
      </c>
      <c r="C103" s="52">
        <v>45292</v>
      </c>
      <c r="D103" s="47" t="s">
        <v>145</v>
      </c>
    </row>
    <row r="104" spans="1:5">
      <c r="A104" s="46" t="s">
        <v>146</v>
      </c>
      <c r="B104" s="49">
        <v>300</v>
      </c>
      <c r="C104" s="52">
        <v>45292</v>
      </c>
      <c r="D104" s="47"/>
    </row>
    <row r="105" spans="1:5">
      <c r="A105" s="46" t="s">
        <v>147</v>
      </c>
      <c r="B105" s="49">
        <v>2000</v>
      </c>
      <c r="C105" s="52">
        <v>45292</v>
      </c>
      <c r="D105" s="47"/>
    </row>
    <row r="106" spans="1:5">
      <c r="A106" s="46" t="s">
        <v>148</v>
      </c>
      <c r="B106" s="49">
        <v>9300</v>
      </c>
      <c r="C106" s="52">
        <v>45292</v>
      </c>
      <c r="D106" s="47"/>
    </row>
    <row r="107" spans="1:5">
      <c r="A107" s="46" t="s">
        <v>149</v>
      </c>
      <c r="B107" s="49">
        <v>1000</v>
      </c>
      <c r="C107" s="52">
        <v>45292</v>
      </c>
      <c r="D107" s="47"/>
    </row>
    <row r="108" spans="1:5">
      <c r="A108" s="46" t="s">
        <v>150</v>
      </c>
      <c r="B108" s="49">
        <v>15000</v>
      </c>
      <c r="C108" s="53">
        <v>45383</v>
      </c>
      <c r="D108" s="47"/>
    </row>
    <row r="109" spans="1:5">
      <c r="A109" s="46" t="s">
        <v>151</v>
      </c>
      <c r="B109" s="49">
        <v>100</v>
      </c>
      <c r="C109" s="47"/>
      <c r="D109" s="47"/>
    </row>
    <row r="110" spans="1:5">
      <c r="A110" s="46" t="s">
        <v>152</v>
      </c>
      <c r="B110" s="49">
        <v>500</v>
      </c>
      <c r="C110" s="47"/>
      <c r="D110" s="47"/>
    </row>
    <row r="111" spans="1:5">
      <c r="A111" s="46" t="s">
        <v>106</v>
      </c>
      <c r="B111" s="49">
        <v>5000</v>
      </c>
      <c r="C111" s="52">
        <v>45657</v>
      </c>
      <c r="D111" s="47"/>
    </row>
    <row r="112" spans="1:5">
      <c r="A112" s="46" t="s">
        <v>153</v>
      </c>
      <c r="B112" s="47"/>
      <c r="C112" s="54"/>
      <c r="D112" s="48"/>
    </row>
    <row r="117" spans="1:6">
      <c r="A117" s="38" t="s">
        <v>154</v>
      </c>
      <c r="B117" s="38" t="s">
        <v>66</v>
      </c>
      <c r="C117" s="38" t="s">
        <v>97</v>
      </c>
      <c r="D117" s="38" t="s">
        <v>56</v>
      </c>
      <c r="E117" s="38" t="s">
        <v>10</v>
      </c>
      <c r="F117" s="38" t="s">
        <v>155</v>
      </c>
    </row>
    <row r="118" spans="1:6">
      <c r="A118" s="7" t="s">
        <v>111</v>
      </c>
      <c r="B118" s="7">
        <v>1500</v>
      </c>
      <c r="C118" s="7">
        <v>1500</v>
      </c>
      <c r="D118" s="7">
        <v>1500</v>
      </c>
      <c r="E118">
        <f>SUM(B118:D118)</f>
        <v>4500</v>
      </c>
      <c r="F118">
        <f t="shared" ref="F118:F123" si="13">PRODUCT(D118,12)</f>
        <v>18000</v>
      </c>
    </row>
    <row r="119" spans="1:6">
      <c r="A119" s="7" t="s">
        <v>156</v>
      </c>
      <c r="B119" s="7">
        <v>1250</v>
      </c>
      <c r="C119" s="7">
        <v>1250</v>
      </c>
      <c r="D119" s="7">
        <v>1250</v>
      </c>
      <c r="E119" s="7">
        <v>1250</v>
      </c>
      <c r="F119">
        <f t="shared" si="13"/>
        <v>15000</v>
      </c>
    </row>
    <row r="120" spans="1:6">
      <c r="A120" s="7" t="s">
        <v>82</v>
      </c>
      <c r="B120" s="7">
        <v>300</v>
      </c>
      <c r="C120" s="7">
        <v>300</v>
      </c>
      <c r="D120" s="7">
        <v>300</v>
      </c>
      <c r="E120">
        <f t="shared" ref="E120:E123" si="14">SUM(B120:D120)</f>
        <v>900</v>
      </c>
      <c r="F120">
        <f t="shared" si="13"/>
        <v>3600</v>
      </c>
    </row>
    <row r="121" spans="1:6">
      <c r="A121" s="7" t="s">
        <v>157</v>
      </c>
      <c r="B121" s="7">
        <v>1500</v>
      </c>
      <c r="C121" s="7">
        <v>1500</v>
      </c>
      <c r="D121" s="7">
        <v>1500</v>
      </c>
      <c r="E121">
        <f t="shared" si="14"/>
        <v>4500</v>
      </c>
      <c r="F121">
        <f t="shared" si="13"/>
        <v>18000</v>
      </c>
    </row>
    <row r="122" spans="1:6">
      <c r="A122" s="7" t="s">
        <v>135</v>
      </c>
      <c r="B122" s="7">
        <v>400</v>
      </c>
      <c r="C122" s="7">
        <v>400</v>
      </c>
      <c r="D122" s="7">
        <v>400</v>
      </c>
      <c r="E122">
        <f t="shared" si="14"/>
        <v>1200</v>
      </c>
      <c r="F122">
        <f t="shared" si="13"/>
        <v>4800</v>
      </c>
    </row>
    <row r="123" spans="1:6">
      <c r="A123" s="38" t="s">
        <v>84</v>
      </c>
      <c r="B123" s="55">
        <f t="shared" ref="B123:D123" si="15">SUM(B118:B122)</f>
        <v>4950</v>
      </c>
      <c r="C123" s="56">
        <f t="shared" si="15"/>
        <v>4950</v>
      </c>
      <c r="D123" s="56">
        <f t="shared" si="15"/>
        <v>4950</v>
      </c>
      <c r="E123" s="57">
        <f t="shared" si="14"/>
        <v>14850</v>
      </c>
      <c r="F123" s="58">
        <f t="shared" si="13"/>
        <v>59400</v>
      </c>
    </row>
    <row r="124" spans="1:6">
      <c r="A124" s="7" t="s">
        <v>158</v>
      </c>
    </row>
  </sheetData>
  <mergeCells count="1">
    <mergeCell ref="A1:I4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81"/>
  <sheetViews>
    <sheetView workbookViewId="0"/>
  </sheetViews>
  <sheetFormatPr defaultColWidth="12.625" defaultRowHeight="15" customHeight="1"/>
  <cols>
    <col min="1" max="1" width="29.25" customWidth="1"/>
    <col min="2" max="2" width="21.375" customWidth="1"/>
    <col min="3" max="3" width="16.125" customWidth="1"/>
    <col min="6" max="6" width="14" customWidth="1"/>
    <col min="7" max="7" width="13.625" customWidth="1"/>
    <col min="8" max="8" width="16.125" customWidth="1"/>
  </cols>
  <sheetData>
    <row r="1" spans="1:9">
      <c r="A1" s="141" t="s">
        <v>159</v>
      </c>
      <c r="B1" s="160"/>
      <c r="C1" s="160"/>
      <c r="D1" s="160"/>
      <c r="E1" s="161"/>
      <c r="F1" s="141" t="s">
        <v>160</v>
      </c>
      <c r="G1" s="160"/>
      <c r="H1" s="160"/>
      <c r="I1" s="161"/>
    </row>
    <row r="2" spans="1:9">
      <c r="A2" s="162"/>
      <c r="B2" s="140"/>
      <c r="C2" s="140"/>
      <c r="D2" s="140"/>
      <c r="E2" s="163"/>
      <c r="F2" s="162"/>
      <c r="G2" s="140"/>
      <c r="H2" s="140"/>
      <c r="I2" s="163"/>
    </row>
    <row r="3" spans="1:9">
      <c r="A3" s="162"/>
      <c r="B3" s="140"/>
      <c r="C3" s="140"/>
      <c r="D3" s="140"/>
      <c r="E3" s="163"/>
      <c r="F3" s="162"/>
      <c r="G3" s="140"/>
      <c r="H3" s="140"/>
      <c r="I3" s="163"/>
    </row>
    <row r="4" spans="1:9">
      <c r="A4" s="164"/>
      <c r="B4" s="165"/>
      <c r="C4" s="165"/>
      <c r="D4" s="165"/>
      <c r="E4" s="166"/>
      <c r="F4" s="164"/>
      <c r="G4" s="165"/>
      <c r="H4" s="165"/>
      <c r="I4" s="166"/>
    </row>
    <row r="5" spans="1:9">
      <c r="A5" s="1" t="s">
        <v>161</v>
      </c>
      <c r="B5" s="1" t="s">
        <v>1</v>
      </c>
      <c r="C5" s="1" t="s">
        <v>2</v>
      </c>
      <c r="F5" s="38">
        <v>2024</v>
      </c>
    </row>
    <row r="6" spans="1:9">
      <c r="A6" s="3" t="s">
        <v>3</v>
      </c>
      <c r="B6" s="4">
        <v>30000</v>
      </c>
      <c r="C6" s="7" t="s">
        <v>162</v>
      </c>
      <c r="E6" s="7" t="s">
        <v>79</v>
      </c>
      <c r="F6">
        <f>1200*12</f>
        <v>14400</v>
      </c>
    </row>
    <row r="7" spans="1:9">
      <c r="A7" s="5" t="s">
        <v>163</v>
      </c>
      <c r="B7" s="6">
        <v>10000</v>
      </c>
      <c r="C7" s="7" t="s">
        <v>7</v>
      </c>
      <c r="E7" s="7" t="s">
        <v>82</v>
      </c>
      <c r="F7">
        <f>(300)*12</f>
        <v>3600</v>
      </c>
    </row>
    <row r="8" spans="1:9">
      <c r="A8" s="5" t="s">
        <v>164</v>
      </c>
      <c r="B8" s="6">
        <v>30000</v>
      </c>
      <c r="C8" s="7" t="s">
        <v>165</v>
      </c>
    </row>
    <row r="9" spans="1:9">
      <c r="A9" s="5" t="s">
        <v>166</v>
      </c>
      <c r="B9" s="6">
        <v>100000</v>
      </c>
      <c r="C9" s="7" t="s">
        <v>165</v>
      </c>
    </row>
    <row r="10" spans="1:9">
      <c r="A10" s="5" t="s">
        <v>5</v>
      </c>
      <c r="B10" s="6">
        <v>10000</v>
      </c>
      <c r="C10" s="7" t="s">
        <v>167</v>
      </c>
    </row>
    <row r="11" spans="1:9">
      <c r="A11" s="8" t="s">
        <v>168</v>
      </c>
      <c r="B11" s="9">
        <v>20000</v>
      </c>
      <c r="C11" s="7" t="s">
        <v>162</v>
      </c>
    </row>
    <row r="12" spans="1:9">
      <c r="A12" s="41" t="s">
        <v>84</v>
      </c>
      <c r="B12" s="42">
        <f>SUM(B6:B11)</f>
        <v>200000</v>
      </c>
    </row>
    <row r="17" spans="1:8">
      <c r="A17" s="11" t="s">
        <v>169</v>
      </c>
      <c r="C17" s="12"/>
      <c r="D17" s="12"/>
      <c r="E17" s="12"/>
    </row>
    <row r="18" spans="1:8">
      <c r="A18" s="13" t="s">
        <v>12</v>
      </c>
      <c r="B18" s="14" t="s">
        <v>13</v>
      </c>
      <c r="C18" s="14" t="s">
        <v>14</v>
      </c>
      <c r="D18" s="14" t="s">
        <v>15</v>
      </c>
      <c r="E18" s="14" t="s">
        <v>16</v>
      </c>
      <c r="F18" s="7" t="s">
        <v>17</v>
      </c>
      <c r="G18" s="7" t="s">
        <v>18</v>
      </c>
    </row>
    <row r="19" spans="1:8">
      <c r="A19" s="15" t="s">
        <v>19</v>
      </c>
      <c r="B19" s="16" t="s">
        <v>19</v>
      </c>
      <c r="C19" s="16" t="s">
        <v>19</v>
      </c>
      <c r="D19" s="16" t="s">
        <v>19</v>
      </c>
      <c r="E19" s="17" t="s">
        <v>19</v>
      </c>
    </row>
    <row r="20" spans="1:8">
      <c r="A20" s="18" t="s">
        <v>20</v>
      </c>
      <c r="B20" s="19">
        <v>30000</v>
      </c>
      <c r="C20" s="19">
        <v>169431</v>
      </c>
      <c r="D20" s="20">
        <f t="shared" ref="D20:D24" si="0">C20-B20</f>
        <v>139431</v>
      </c>
      <c r="E20" s="21">
        <f t="shared" ref="E20:E22" si="1">(D20-B20)/B20</f>
        <v>3.6476999999999999</v>
      </c>
      <c r="F20" s="7">
        <v>99431.39</v>
      </c>
      <c r="G20" s="7">
        <v>70000</v>
      </c>
    </row>
    <row r="21" spans="1:8">
      <c r="A21" s="18" t="s">
        <v>21</v>
      </c>
      <c r="B21" s="19">
        <v>361900</v>
      </c>
      <c r="C21" s="19">
        <v>530000</v>
      </c>
      <c r="D21" s="20">
        <f t="shared" si="0"/>
        <v>168100</v>
      </c>
      <c r="E21" s="21">
        <f t="shared" si="1"/>
        <v>-0.53550704614534406</v>
      </c>
    </row>
    <row r="22" spans="1:8">
      <c r="A22" s="18" t="s">
        <v>22</v>
      </c>
      <c r="B22" s="19">
        <v>35000</v>
      </c>
      <c r="C22" s="19">
        <v>108123</v>
      </c>
      <c r="D22" s="20">
        <f t="shared" si="0"/>
        <v>73123</v>
      </c>
      <c r="E22" s="21">
        <f t="shared" si="1"/>
        <v>1.0892285714285714</v>
      </c>
      <c r="F22" s="7">
        <v>29469</v>
      </c>
      <c r="G22" s="7">
        <v>86470</v>
      </c>
      <c r="H22" s="7">
        <v>2000</v>
      </c>
    </row>
    <row r="23" spans="1:8">
      <c r="A23" s="18" t="s">
        <v>170</v>
      </c>
      <c r="B23" s="19">
        <v>0</v>
      </c>
      <c r="C23" s="19">
        <v>3000</v>
      </c>
      <c r="D23" s="20">
        <f t="shared" si="0"/>
        <v>3000</v>
      </c>
      <c r="E23" s="22">
        <v>0</v>
      </c>
    </row>
    <row r="24" spans="1:8">
      <c r="A24" s="18" t="s">
        <v>85</v>
      </c>
      <c r="B24" s="19">
        <v>630</v>
      </c>
      <c r="C24" s="19">
        <v>17820</v>
      </c>
      <c r="D24" s="20">
        <f t="shared" si="0"/>
        <v>17190</v>
      </c>
      <c r="E24" s="21">
        <f t="shared" ref="E24:E31" si="2">(D24-B24)/B24</f>
        <v>26.285714285714285</v>
      </c>
    </row>
    <row r="25" spans="1:8">
      <c r="A25" s="18" t="s">
        <v>24</v>
      </c>
      <c r="B25" s="19">
        <v>1000</v>
      </c>
      <c r="C25" s="19">
        <v>5000</v>
      </c>
      <c r="D25" s="20">
        <f>C25-E35</f>
        <v>5000.2199452963114</v>
      </c>
      <c r="E25" s="21">
        <f t="shared" si="2"/>
        <v>4.000219945296311</v>
      </c>
    </row>
    <row r="26" spans="1:8">
      <c r="A26" s="18" t="s">
        <v>171</v>
      </c>
      <c r="B26" s="19">
        <v>9500</v>
      </c>
      <c r="C26" s="19">
        <v>35944</v>
      </c>
      <c r="D26" s="20">
        <f t="shared" ref="D26:D32" si="3">C26-B26</f>
        <v>26444</v>
      </c>
      <c r="E26" s="21">
        <f t="shared" si="2"/>
        <v>1.7835789473684212</v>
      </c>
    </row>
    <row r="27" spans="1:8">
      <c r="A27" s="18" t="s">
        <v>30</v>
      </c>
      <c r="B27" s="19">
        <v>220</v>
      </c>
      <c r="C27" s="19">
        <v>5200</v>
      </c>
      <c r="D27" s="20">
        <f t="shared" si="3"/>
        <v>4980</v>
      </c>
      <c r="E27" s="21">
        <f t="shared" si="2"/>
        <v>21.636363636363637</v>
      </c>
    </row>
    <row r="28" spans="1:8">
      <c r="A28" s="18" t="s">
        <v>31</v>
      </c>
      <c r="B28" s="19">
        <v>17000</v>
      </c>
      <c r="C28" s="19">
        <v>3100</v>
      </c>
      <c r="D28" s="20">
        <f t="shared" si="3"/>
        <v>-13900</v>
      </c>
      <c r="E28" s="21">
        <f t="shared" si="2"/>
        <v>-1.8176470588235294</v>
      </c>
    </row>
    <row r="29" spans="1:8">
      <c r="A29" s="18" t="s">
        <v>172</v>
      </c>
      <c r="B29" s="19">
        <v>15000</v>
      </c>
      <c r="C29" s="19">
        <v>0</v>
      </c>
      <c r="D29" s="20">
        <f t="shared" si="3"/>
        <v>-15000</v>
      </c>
      <c r="E29" s="21">
        <f t="shared" si="2"/>
        <v>-2</v>
      </c>
    </row>
    <row r="30" spans="1:8">
      <c r="A30" s="18" t="s">
        <v>59</v>
      </c>
      <c r="B30" s="19">
        <v>1000</v>
      </c>
      <c r="C30" s="19">
        <v>5700</v>
      </c>
      <c r="D30" s="20">
        <f t="shared" si="3"/>
        <v>4700</v>
      </c>
      <c r="E30" s="21">
        <f t="shared" si="2"/>
        <v>3.7</v>
      </c>
    </row>
    <row r="31" spans="1:8">
      <c r="A31" s="18" t="s">
        <v>34</v>
      </c>
      <c r="B31" s="19">
        <v>60000</v>
      </c>
      <c r="C31" s="19">
        <v>40000</v>
      </c>
      <c r="D31" s="20">
        <f t="shared" si="3"/>
        <v>-20000</v>
      </c>
      <c r="E31" s="21">
        <f t="shared" si="2"/>
        <v>-1.3333333333333333</v>
      </c>
    </row>
    <row r="32" spans="1:8">
      <c r="A32" s="18" t="s">
        <v>36</v>
      </c>
      <c r="B32" s="19">
        <v>0</v>
      </c>
      <c r="C32" s="19">
        <v>500</v>
      </c>
      <c r="D32" s="20">
        <f t="shared" si="3"/>
        <v>500</v>
      </c>
      <c r="E32" s="23" t="s">
        <v>37</v>
      </c>
    </row>
    <row r="33" spans="1:8">
      <c r="A33" s="18" t="s">
        <v>173</v>
      </c>
      <c r="B33" s="19">
        <v>27000</v>
      </c>
      <c r="C33" s="19">
        <v>20000</v>
      </c>
      <c r="D33" s="20"/>
      <c r="E33" s="21"/>
    </row>
    <row r="34" spans="1:8">
      <c r="A34" s="18" t="s">
        <v>40</v>
      </c>
      <c r="B34" s="19">
        <v>45000</v>
      </c>
      <c r="C34" s="19">
        <v>130000</v>
      </c>
      <c r="D34" s="20">
        <f t="shared" ref="D34:D35" si="4">C34-B34</f>
        <v>85000</v>
      </c>
      <c r="E34" s="21">
        <f t="shared" ref="E34:E35" si="5">(D34-B34)/B34</f>
        <v>0.88888888888888884</v>
      </c>
    </row>
    <row r="35" spans="1:8">
      <c r="A35" s="24" t="s">
        <v>41</v>
      </c>
      <c r="B35" s="20">
        <f t="shared" ref="B35:C35" si="6">SUM(B20:B34)</f>
        <v>603250</v>
      </c>
      <c r="C35" s="20">
        <f t="shared" si="6"/>
        <v>1073818</v>
      </c>
      <c r="D35" s="20">
        <f t="shared" si="4"/>
        <v>470568</v>
      </c>
      <c r="E35" s="21">
        <f t="shared" si="5"/>
        <v>-0.21994529631164525</v>
      </c>
    </row>
    <row r="36" spans="1:8">
      <c r="A36" s="25" t="s">
        <v>42</v>
      </c>
      <c r="B36" s="26" t="s">
        <v>43</v>
      </c>
      <c r="C36" s="26" t="s">
        <v>44</v>
      </c>
      <c r="D36" s="26" t="s">
        <v>45</v>
      </c>
      <c r="E36" s="25" t="s">
        <v>16</v>
      </c>
    </row>
    <row r="37" spans="1:8">
      <c r="A37" s="27" t="s">
        <v>46</v>
      </c>
      <c r="B37" s="28">
        <v>343000</v>
      </c>
      <c r="C37" s="28">
        <v>282235.99</v>
      </c>
      <c r="D37" s="29">
        <f t="shared" ref="D37:D39" si="7">B37-C37</f>
        <v>60764.010000000009</v>
      </c>
      <c r="E37" s="30">
        <f t="shared" ref="E37:E39" si="8">D37/B37</f>
        <v>0.17715454810495629</v>
      </c>
    </row>
    <row r="38" spans="1:8">
      <c r="A38" s="27" t="s">
        <v>47</v>
      </c>
      <c r="B38" s="28">
        <v>0</v>
      </c>
      <c r="C38" s="28">
        <v>2000</v>
      </c>
      <c r="D38" s="29">
        <f t="shared" si="7"/>
        <v>-2000</v>
      </c>
      <c r="E38" s="30" t="e">
        <f t="shared" si="8"/>
        <v>#DIV/0!</v>
      </c>
    </row>
    <row r="39" spans="1:8">
      <c r="A39" s="27" t="s">
        <v>174</v>
      </c>
      <c r="B39" s="28">
        <v>0</v>
      </c>
      <c r="C39" s="28">
        <v>10000</v>
      </c>
      <c r="D39" s="29">
        <f t="shared" si="7"/>
        <v>-10000</v>
      </c>
      <c r="E39" s="30" t="e">
        <f t="shared" si="8"/>
        <v>#DIV/0!</v>
      </c>
    </row>
    <row r="40" spans="1:8">
      <c r="A40" s="27" t="s">
        <v>175</v>
      </c>
      <c r="B40" s="28">
        <v>21000</v>
      </c>
      <c r="C40" s="28">
        <v>0</v>
      </c>
      <c r="D40" s="29"/>
      <c r="E40" s="30"/>
    </row>
    <row r="41" spans="1:8">
      <c r="A41" s="27" t="s">
        <v>40</v>
      </c>
      <c r="B41" s="28">
        <v>36000</v>
      </c>
      <c r="C41" s="28">
        <v>31138</v>
      </c>
      <c r="D41" s="29">
        <f t="shared" ref="D41:D42" si="9">B41-C41</f>
        <v>4862</v>
      </c>
      <c r="E41" s="30">
        <f t="shared" ref="E41:E43" si="10">D41/B41</f>
        <v>0.13505555555555557</v>
      </c>
    </row>
    <row r="42" spans="1:8">
      <c r="A42" s="27" t="s">
        <v>48</v>
      </c>
      <c r="B42" s="29">
        <f t="shared" ref="B42:C42" si="11">SUM(B37:B41)</f>
        <v>400000</v>
      </c>
      <c r="C42" s="29">
        <f t="shared" si="11"/>
        <v>325373.99</v>
      </c>
      <c r="D42" s="29">
        <f t="shared" si="9"/>
        <v>74626.010000000009</v>
      </c>
      <c r="E42" s="30">
        <f t="shared" si="10"/>
        <v>0.18656502500000002</v>
      </c>
    </row>
    <row r="43" spans="1:8">
      <c r="A43" s="31" t="s">
        <v>49</v>
      </c>
      <c r="B43" s="32">
        <f t="shared" ref="B43:C43" si="12">B35-B42</f>
        <v>203250</v>
      </c>
      <c r="C43" s="32">
        <f t="shared" si="12"/>
        <v>748444.01</v>
      </c>
      <c r="D43" s="32">
        <f>C43-B43</f>
        <v>545194.01</v>
      </c>
      <c r="E43" s="34">
        <f t="shared" si="10"/>
        <v>2.6823813530135303</v>
      </c>
    </row>
    <row r="45" spans="1:8">
      <c r="A45" s="12"/>
      <c r="B45" s="12"/>
    </row>
    <row r="46" spans="1:8">
      <c r="A46" s="35"/>
      <c r="B46" s="13" t="s">
        <v>176</v>
      </c>
      <c r="C46" s="13" t="s">
        <v>177</v>
      </c>
      <c r="D46" s="13" t="s">
        <v>94</v>
      </c>
      <c r="E46" s="14" t="s">
        <v>178</v>
      </c>
      <c r="F46" s="13" t="s">
        <v>64</v>
      </c>
      <c r="G46" s="59" t="s">
        <v>179</v>
      </c>
      <c r="H46" s="59" t="s">
        <v>180</v>
      </c>
    </row>
    <row r="47" spans="1:8">
      <c r="A47" s="36" t="s">
        <v>19</v>
      </c>
      <c r="B47" s="17" t="s">
        <v>19</v>
      </c>
      <c r="C47" s="17" t="s">
        <v>19</v>
      </c>
      <c r="D47" s="17" t="s">
        <v>19</v>
      </c>
      <c r="E47" s="17" t="s">
        <v>19</v>
      </c>
      <c r="F47" s="17" t="s">
        <v>19</v>
      </c>
      <c r="G47" s="16" t="s">
        <v>19</v>
      </c>
      <c r="H47" s="16" t="s">
        <v>19</v>
      </c>
    </row>
    <row r="48" spans="1:8">
      <c r="A48" s="18" t="s">
        <v>20</v>
      </c>
      <c r="B48" s="19">
        <v>116222</v>
      </c>
      <c r="C48" s="19">
        <v>127259</v>
      </c>
      <c r="D48" s="19">
        <v>134647.04999999999</v>
      </c>
      <c r="E48" s="19">
        <v>150118</v>
      </c>
      <c r="F48" s="19">
        <v>149959</v>
      </c>
      <c r="G48" s="19">
        <v>146643</v>
      </c>
      <c r="H48" s="19">
        <v>169431</v>
      </c>
    </row>
    <row r="49" spans="1:8">
      <c r="A49" s="18" t="s">
        <v>21</v>
      </c>
      <c r="B49" s="19">
        <v>548900</v>
      </c>
      <c r="C49" s="19">
        <v>557000</v>
      </c>
      <c r="D49" s="19">
        <v>563400</v>
      </c>
      <c r="E49" s="19">
        <v>561200</v>
      </c>
      <c r="F49" s="19">
        <v>566600</v>
      </c>
      <c r="G49" s="19">
        <v>570000</v>
      </c>
      <c r="H49" s="19">
        <v>530000</v>
      </c>
    </row>
    <row r="50" spans="1:8">
      <c r="A50" s="18" t="s">
        <v>22</v>
      </c>
      <c r="B50" s="19">
        <v>100000</v>
      </c>
      <c r="C50" s="19">
        <v>115000</v>
      </c>
      <c r="D50" s="19">
        <v>121000</v>
      </c>
      <c r="E50" s="19">
        <v>117715</v>
      </c>
      <c r="F50" s="19">
        <v>116953</v>
      </c>
      <c r="G50" s="19">
        <v>108864</v>
      </c>
      <c r="H50" s="19">
        <v>108123</v>
      </c>
    </row>
    <row r="51" spans="1:8">
      <c r="A51" s="18" t="s">
        <v>57</v>
      </c>
      <c r="B51" s="19">
        <v>1000</v>
      </c>
      <c r="C51" s="19">
        <v>1000</v>
      </c>
      <c r="D51" s="19">
        <v>1000</v>
      </c>
      <c r="E51" s="19">
        <v>2600</v>
      </c>
      <c r="F51" s="19">
        <v>2100</v>
      </c>
      <c r="G51" s="19">
        <v>2100</v>
      </c>
      <c r="H51" s="19">
        <v>3000</v>
      </c>
    </row>
    <row r="52" spans="1:8">
      <c r="A52" s="18" t="s">
        <v>85</v>
      </c>
      <c r="B52" s="19">
        <v>16000</v>
      </c>
      <c r="C52" s="19">
        <v>13160</v>
      </c>
      <c r="D52" s="19">
        <v>12667</v>
      </c>
      <c r="E52" s="19">
        <v>16871.5</v>
      </c>
      <c r="F52" s="19">
        <v>16871.5</v>
      </c>
      <c r="G52" s="19">
        <v>16244</v>
      </c>
      <c r="H52" s="19">
        <v>17820</v>
      </c>
    </row>
    <row r="53" spans="1:8">
      <c r="A53" s="18" t="s">
        <v>24</v>
      </c>
      <c r="B53" s="19">
        <v>5000</v>
      </c>
      <c r="C53" s="19">
        <v>5000</v>
      </c>
      <c r="D53" s="19">
        <v>5000</v>
      </c>
      <c r="E53" s="19">
        <v>5000</v>
      </c>
      <c r="F53" s="19">
        <v>5000</v>
      </c>
      <c r="G53" s="19">
        <v>5000</v>
      </c>
      <c r="H53" s="19">
        <v>5000</v>
      </c>
    </row>
    <row r="54" spans="1:8">
      <c r="A54" s="18" t="s">
        <v>58</v>
      </c>
      <c r="B54" s="19">
        <v>15430</v>
      </c>
      <c r="C54" s="19">
        <v>27000</v>
      </c>
      <c r="D54" s="19">
        <v>27000</v>
      </c>
      <c r="E54" s="19">
        <v>25000</v>
      </c>
      <c r="F54" s="19">
        <v>21000</v>
      </c>
      <c r="G54" s="19">
        <v>23180</v>
      </c>
      <c r="H54" s="19">
        <v>35944</v>
      </c>
    </row>
    <row r="55" spans="1:8">
      <c r="A55" s="18" t="s">
        <v>30</v>
      </c>
      <c r="B55" s="19">
        <v>2000</v>
      </c>
      <c r="C55" s="19">
        <v>2000</v>
      </c>
      <c r="D55" s="19">
        <v>2000</v>
      </c>
      <c r="E55" s="19">
        <v>2000</v>
      </c>
      <c r="F55" s="19">
        <v>2000</v>
      </c>
      <c r="G55" s="19">
        <v>2000</v>
      </c>
      <c r="H55" s="19">
        <v>5200</v>
      </c>
    </row>
    <row r="56" spans="1:8">
      <c r="A56" s="18" t="s">
        <v>31</v>
      </c>
      <c r="B56" s="19">
        <v>6390</v>
      </c>
      <c r="C56" s="19">
        <v>1000</v>
      </c>
      <c r="D56" s="19">
        <v>1000</v>
      </c>
      <c r="E56" s="19">
        <v>800</v>
      </c>
      <c r="F56" s="19">
        <v>800</v>
      </c>
      <c r="G56" s="19">
        <v>600</v>
      </c>
      <c r="H56" s="19">
        <v>3100</v>
      </c>
    </row>
    <row r="57" spans="1:8">
      <c r="A57" s="18" t="s">
        <v>172</v>
      </c>
      <c r="B57" s="19">
        <v>17200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</row>
    <row r="58" spans="1:8">
      <c r="A58" s="18" t="s">
        <v>59</v>
      </c>
      <c r="B58" s="19">
        <v>2800</v>
      </c>
      <c r="C58" s="19">
        <v>0</v>
      </c>
      <c r="D58" s="19">
        <v>0</v>
      </c>
      <c r="E58" s="19">
        <v>50</v>
      </c>
      <c r="F58" s="19">
        <v>4940</v>
      </c>
      <c r="G58" s="19">
        <v>5050</v>
      </c>
      <c r="H58" s="19">
        <v>5700</v>
      </c>
    </row>
    <row r="59" spans="1:8">
      <c r="A59" s="18" t="s">
        <v>34</v>
      </c>
      <c r="B59" s="19">
        <v>60000</v>
      </c>
      <c r="C59" s="19">
        <v>45000</v>
      </c>
      <c r="D59" s="19">
        <v>45000</v>
      </c>
      <c r="E59" s="19">
        <v>40000</v>
      </c>
      <c r="F59" s="19">
        <v>40000</v>
      </c>
      <c r="G59" s="19">
        <v>40000</v>
      </c>
      <c r="H59" s="19">
        <v>40000</v>
      </c>
    </row>
    <row r="60" spans="1:8">
      <c r="A60" s="18" t="s">
        <v>36</v>
      </c>
      <c r="B60" s="19">
        <v>500</v>
      </c>
      <c r="C60" s="19">
        <v>500</v>
      </c>
      <c r="D60" s="19">
        <v>500</v>
      </c>
      <c r="E60" s="19">
        <v>500</v>
      </c>
      <c r="F60" s="19">
        <v>500</v>
      </c>
      <c r="G60" s="19">
        <v>500</v>
      </c>
      <c r="H60" s="19">
        <v>500</v>
      </c>
    </row>
    <row r="61" spans="1:8">
      <c r="A61" s="18" t="s">
        <v>173</v>
      </c>
      <c r="B61" s="19">
        <v>27000</v>
      </c>
      <c r="C61" s="19">
        <v>25000</v>
      </c>
      <c r="D61" s="20"/>
      <c r="E61" s="21"/>
      <c r="F61" s="21"/>
      <c r="G61" s="19">
        <v>25000</v>
      </c>
      <c r="H61" s="19">
        <v>20000</v>
      </c>
    </row>
    <row r="62" spans="1:8">
      <c r="A62" s="18" t="s">
        <v>60</v>
      </c>
      <c r="B62" s="19">
        <v>110000</v>
      </c>
      <c r="C62" s="19">
        <v>110000</v>
      </c>
      <c r="D62" s="19">
        <v>130000</v>
      </c>
      <c r="E62" s="19">
        <v>130000</v>
      </c>
      <c r="F62" s="19">
        <v>130000</v>
      </c>
      <c r="G62" s="19">
        <v>130000</v>
      </c>
      <c r="H62" s="19">
        <v>130000</v>
      </c>
    </row>
    <row r="63" spans="1:8">
      <c r="A63" s="24" t="s">
        <v>41</v>
      </c>
      <c r="B63" s="20">
        <f t="shared" ref="B63:C63" si="13">SUM(B48:B62)</f>
        <v>1028442</v>
      </c>
      <c r="C63" s="20">
        <f t="shared" si="13"/>
        <v>1028919</v>
      </c>
      <c r="D63" s="20">
        <v>1043214.05</v>
      </c>
      <c r="E63" s="20">
        <f t="shared" ref="E63:H63" si="14">SUM(E48:E62)</f>
        <v>1051854.5</v>
      </c>
      <c r="F63" s="20">
        <f t="shared" si="14"/>
        <v>1056723.5</v>
      </c>
      <c r="G63" s="20">
        <f t="shared" si="14"/>
        <v>1075181</v>
      </c>
      <c r="H63" s="20">
        <f t="shared" si="14"/>
        <v>1073818</v>
      </c>
    </row>
    <row r="64" spans="1:8">
      <c r="A64" s="25" t="s">
        <v>42</v>
      </c>
      <c r="B64" s="26" t="s">
        <v>44</v>
      </c>
      <c r="C64" s="26" t="s">
        <v>44</v>
      </c>
      <c r="D64" s="26" t="s">
        <v>44</v>
      </c>
      <c r="E64" s="26" t="s">
        <v>44</v>
      </c>
      <c r="F64" s="26" t="s">
        <v>44</v>
      </c>
      <c r="G64" s="26" t="s">
        <v>44</v>
      </c>
      <c r="H64" s="26" t="s">
        <v>44</v>
      </c>
    </row>
    <row r="65" spans="1:8">
      <c r="A65" s="27" t="s">
        <v>46</v>
      </c>
      <c r="B65" s="28">
        <v>323000</v>
      </c>
      <c r="C65" s="28">
        <v>289000</v>
      </c>
      <c r="D65" s="28">
        <v>287771.89</v>
      </c>
      <c r="E65" s="28">
        <v>286235.99</v>
      </c>
      <c r="F65" s="28">
        <v>286235.99</v>
      </c>
      <c r="G65" s="28">
        <v>283235.99</v>
      </c>
      <c r="H65" s="28">
        <v>282235.99</v>
      </c>
    </row>
    <row r="66" spans="1:8">
      <c r="A66" s="27" t="s">
        <v>47</v>
      </c>
      <c r="B66" s="28">
        <v>4000</v>
      </c>
      <c r="C66" s="28">
        <v>4000</v>
      </c>
      <c r="D66" s="28">
        <v>3000</v>
      </c>
      <c r="E66" s="28">
        <v>3000</v>
      </c>
      <c r="F66" s="28">
        <v>2500</v>
      </c>
      <c r="G66" s="28">
        <v>1000</v>
      </c>
      <c r="H66" s="28">
        <v>2000</v>
      </c>
    </row>
    <row r="67" spans="1:8">
      <c r="A67" s="27" t="s">
        <v>174</v>
      </c>
      <c r="B67" s="28">
        <v>3000</v>
      </c>
      <c r="C67" s="28">
        <v>0</v>
      </c>
      <c r="D67" s="28">
        <v>0</v>
      </c>
      <c r="E67" s="28">
        <v>0</v>
      </c>
      <c r="F67" s="28">
        <v>0</v>
      </c>
      <c r="G67" s="28">
        <v>0</v>
      </c>
      <c r="H67" s="28">
        <v>10000</v>
      </c>
    </row>
    <row r="68" spans="1:8">
      <c r="A68" s="27" t="s">
        <v>181</v>
      </c>
      <c r="B68" s="28">
        <v>21000</v>
      </c>
      <c r="C68" s="28">
        <v>21000</v>
      </c>
      <c r="D68" s="28">
        <v>20800</v>
      </c>
      <c r="E68" s="28">
        <v>20000</v>
      </c>
      <c r="F68" s="28">
        <v>20000</v>
      </c>
      <c r="G68" s="28">
        <v>0</v>
      </c>
      <c r="H68" s="28">
        <v>0</v>
      </c>
    </row>
    <row r="69" spans="1:8">
      <c r="A69" s="27" t="s">
        <v>60</v>
      </c>
      <c r="B69" s="28">
        <v>33000</v>
      </c>
      <c r="C69" s="28">
        <v>33000</v>
      </c>
      <c r="D69" s="28">
        <v>32000</v>
      </c>
      <c r="E69" s="28">
        <v>32000</v>
      </c>
      <c r="F69" s="28">
        <v>32000</v>
      </c>
      <c r="G69" s="28">
        <v>31502</v>
      </c>
      <c r="H69" s="28">
        <v>31138</v>
      </c>
    </row>
    <row r="70" spans="1:8">
      <c r="A70" s="27" t="s">
        <v>48</v>
      </c>
      <c r="B70" s="29">
        <f t="shared" ref="B70:C70" si="15">SUM(B65:B69)</f>
        <v>384000</v>
      </c>
      <c r="C70" s="29">
        <f t="shared" si="15"/>
        <v>347000</v>
      </c>
      <c r="D70" s="29">
        <v>343571.89</v>
      </c>
      <c r="E70" s="29">
        <f t="shared" ref="E70:H70" si="16">SUM(E65:E69)</f>
        <v>341235.99</v>
      </c>
      <c r="F70" s="29">
        <f t="shared" si="16"/>
        <v>340735.99</v>
      </c>
      <c r="G70" s="29">
        <f t="shared" si="16"/>
        <v>315737.99</v>
      </c>
      <c r="H70" s="29">
        <f t="shared" si="16"/>
        <v>325373.99</v>
      </c>
    </row>
    <row r="71" spans="1:8">
      <c r="A71" s="31" t="s">
        <v>61</v>
      </c>
      <c r="B71" s="32">
        <f t="shared" ref="B71:C71" si="17">B63-B70</f>
        <v>644442</v>
      </c>
      <c r="C71" s="32">
        <f t="shared" si="17"/>
        <v>681919</v>
      </c>
      <c r="D71" s="32">
        <v>699642.16</v>
      </c>
      <c r="E71" s="32">
        <f t="shared" ref="E71:H71" si="18">E63-E70</f>
        <v>710618.51</v>
      </c>
      <c r="F71" s="32">
        <f t="shared" si="18"/>
        <v>715987.51</v>
      </c>
      <c r="G71" s="32">
        <f t="shared" si="18"/>
        <v>759443.01</v>
      </c>
      <c r="H71" s="32">
        <f t="shared" si="18"/>
        <v>748444.01</v>
      </c>
    </row>
    <row r="72" spans="1:8">
      <c r="A72" s="37"/>
      <c r="B72" s="37"/>
      <c r="C72" s="37"/>
      <c r="D72" s="37"/>
    </row>
    <row r="73" spans="1:8">
      <c r="A73" s="37"/>
      <c r="B73" s="37"/>
      <c r="C73" s="37"/>
      <c r="D73" s="37"/>
    </row>
    <row r="74" spans="1:8">
      <c r="A74" s="37"/>
      <c r="B74" s="37"/>
      <c r="C74" s="37"/>
      <c r="D74" s="37"/>
    </row>
    <row r="75" spans="1:8">
      <c r="C75" s="7" t="s">
        <v>66</v>
      </c>
      <c r="D75" s="7">
        <v>29200</v>
      </c>
      <c r="E75" s="7" t="s">
        <v>39</v>
      </c>
    </row>
    <row r="76" spans="1:8">
      <c r="B76" s="7" t="s">
        <v>22</v>
      </c>
      <c r="C76" s="40">
        <v>100000</v>
      </c>
    </row>
    <row r="77" spans="1:8">
      <c r="B77" s="7" t="s">
        <v>100</v>
      </c>
      <c r="C77" s="40">
        <v>10000</v>
      </c>
    </row>
    <row r="78" spans="1:8">
      <c r="B78" s="7" t="s">
        <v>101</v>
      </c>
      <c r="C78" s="7">
        <v>18660</v>
      </c>
    </row>
    <row r="79" spans="1:8">
      <c r="B79" s="7" t="s">
        <v>102</v>
      </c>
      <c r="C79" s="7">
        <v>18000</v>
      </c>
    </row>
    <row r="80" spans="1:8">
      <c r="B80" s="7" t="s">
        <v>104</v>
      </c>
      <c r="C80" s="7">
        <v>20000</v>
      </c>
    </row>
    <row r="81" spans="2:3">
      <c r="B81" s="7" t="s">
        <v>106</v>
      </c>
      <c r="C81" s="7">
        <v>10000</v>
      </c>
    </row>
  </sheetData>
  <mergeCells count="2">
    <mergeCell ref="A1:E4"/>
    <mergeCell ref="F1:I4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994"/>
  <sheetViews>
    <sheetView workbookViewId="0"/>
  </sheetViews>
  <sheetFormatPr defaultColWidth="12.625" defaultRowHeight="15" customHeight="1"/>
  <cols>
    <col min="1" max="1" width="3.75" customWidth="1"/>
    <col min="2" max="2" width="27.5" customWidth="1"/>
    <col min="3" max="3" width="26.5" customWidth="1"/>
    <col min="4" max="4" width="15.125" customWidth="1"/>
    <col min="5" max="5" width="18.75" customWidth="1"/>
    <col min="6" max="6" width="14.375" customWidth="1"/>
    <col min="7" max="7" width="14.875" customWidth="1"/>
    <col min="8" max="8" width="16.375" customWidth="1"/>
    <col min="9" max="10" width="14.75" customWidth="1"/>
    <col min="11" max="11" width="11.875" customWidth="1"/>
    <col min="12" max="12" width="18.625" customWidth="1"/>
    <col min="13" max="13" width="15.25" customWidth="1"/>
    <col min="14" max="14" width="16.125" customWidth="1"/>
    <col min="15" max="15" width="12.625" customWidth="1"/>
    <col min="16" max="16" width="13.375" customWidth="1"/>
    <col min="17" max="17" width="12.125" customWidth="1"/>
    <col min="18" max="19" width="9.875" customWidth="1"/>
    <col min="20" max="20" width="13.5" customWidth="1"/>
    <col min="22" max="22" width="13.75" customWidth="1"/>
    <col min="23" max="23" width="14.625" customWidth="1"/>
    <col min="24" max="24" width="15.5" customWidth="1"/>
    <col min="25" max="25" width="14.25" customWidth="1"/>
    <col min="26" max="26" width="16.25" customWidth="1"/>
    <col min="27" max="27" width="16.625" customWidth="1"/>
  </cols>
  <sheetData>
    <row r="1" spans="1:15" ht="6.75" customHeight="1">
      <c r="A1" s="37"/>
      <c r="B1" s="60"/>
      <c r="C1" s="60"/>
      <c r="D1" s="61"/>
      <c r="E1" s="61"/>
      <c r="F1" s="62"/>
      <c r="G1" s="61"/>
      <c r="H1" s="61"/>
      <c r="I1" s="63"/>
      <c r="J1" s="63"/>
      <c r="K1" s="37"/>
      <c r="L1" s="37"/>
      <c r="M1" s="37"/>
      <c r="N1" s="37"/>
      <c r="O1" s="37"/>
    </row>
    <row r="2" spans="1:15" ht="16.5" hidden="1" customHeight="1">
      <c r="A2" s="37"/>
      <c r="B2" s="64" t="s">
        <v>182</v>
      </c>
      <c r="C2" s="64" t="s">
        <v>183</v>
      </c>
      <c r="D2" s="65" t="s">
        <v>184</v>
      </c>
      <c r="E2" s="65" t="s">
        <v>185</v>
      </c>
      <c r="F2" s="66" t="s">
        <v>186</v>
      </c>
      <c r="G2" s="65" t="s">
        <v>187</v>
      </c>
      <c r="H2" s="65"/>
      <c r="I2" s="65" t="s">
        <v>188</v>
      </c>
      <c r="J2" s="63"/>
      <c r="K2" s="37"/>
      <c r="L2" s="37"/>
      <c r="M2" s="37"/>
      <c r="N2" s="37"/>
      <c r="O2" s="37"/>
    </row>
    <row r="3" spans="1:15" ht="16.5" hidden="1" customHeight="1">
      <c r="A3" s="37"/>
      <c r="B3" s="142" t="s">
        <v>189</v>
      </c>
      <c r="C3" s="67" t="s">
        <v>39</v>
      </c>
      <c r="D3" s="68">
        <v>3000</v>
      </c>
      <c r="E3" s="68">
        <v>3000</v>
      </c>
      <c r="F3" s="69"/>
      <c r="G3" s="69"/>
      <c r="H3" s="70"/>
      <c r="I3" s="63"/>
      <c r="J3" s="63"/>
      <c r="K3" s="37"/>
      <c r="L3" s="37"/>
      <c r="M3" s="37"/>
      <c r="N3" s="37"/>
      <c r="O3" s="37"/>
    </row>
    <row r="4" spans="1:15" ht="14.25" hidden="1" customHeight="1">
      <c r="A4" s="37"/>
      <c r="B4" s="167"/>
      <c r="C4" s="67" t="s">
        <v>190</v>
      </c>
      <c r="D4" s="68">
        <v>3000</v>
      </c>
      <c r="E4" s="68">
        <v>3178</v>
      </c>
      <c r="F4" s="69"/>
      <c r="G4" s="69"/>
      <c r="H4" s="70"/>
      <c r="I4" s="63"/>
      <c r="J4" s="63"/>
      <c r="K4" s="37"/>
      <c r="L4" s="37"/>
      <c r="M4" s="37"/>
      <c r="N4" s="37"/>
      <c r="O4" s="37"/>
    </row>
    <row r="5" spans="1:15" hidden="1">
      <c r="A5" s="37"/>
      <c r="B5" s="71" t="s">
        <v>191</v>
      </c>
      <c r="C5" s="72"/>
      <c r="D5" s="73">
        <f>SUM(D3:D4)</f>
        <v>6000</v>
      </c>
      <c r="E5" s="73"/>
      <c r="F5" s="73"/>
      <c r="G5" s="73"/>
      <c r="H5" s="74"/>
      <c r="I5" s="63"/>
      <c r="J5" s="63"/>
      <c r="K5" s="37"/>
      <c r="L5" s="37"/>
      <c r="M5" s="37"/>
      <c r="N5" s="37"/>
      <c r="O5" s="37"/>
    </row>
    <row r="6" spans="1:15" hidden="1">
      <c r="A6" s="37"/>
      <c r="B6" s="143" t="s">
        <v>192</v>
      </c>
      <c r="C6" s="75" t="s">
        <v>106</v>
      </c>
      <c r="D6" s="76"/>
      <c r="E6" s="77"/>
      <c r="F6" s="77"/>
      <c r="G6" s="77"/>
      <c r="H6" s="78"/>
      <c r="I6" s="63"/>
      <c r="J6" s="63"/>
      <c r="K6" s="37"/>
      <c r="L6" s="37"/>
      <c r="M6" s="37"/>
      <c r="N6" s="37"/>
      <c r="O6" s="37"/>
    </row>
    <row r="7" spans="1:15" hidden="1">
      <c r="A7" s="37"/>
      <c r="B7" s="168"/>
      <c r="C7" s="75" t="s">
        <v>46</v>
      </c>
      <c r="D7" s="76">
        <v>2500</v>
      </c>
      <c r="E7" s="77"/>
      <c r="F7" s="77"/>
      <c r="G7" s="77"/>
      <c r="H7" s="78"/>
      <c r="I7" s="35" t="s">
        <v>193</v>
      </c>
      <c r="J7" s="63"/>
      <c r="K7" s="37"/>
      <c r="L7" s="37"/>
      <c r="M7" s="37"/>
      <c r="N7" s="37"/>
      <c r="O7" s="37"/>
    </row>
    <row r="8" spans="1:15" hidden="1">
      <c r="A8" s="37"/>
      <c r="B8" s="168"/>
      <c r="C8" s="75" t="s">
        <v>194</v>
      </c>
      <c r="D8" s="76"/>
      <c r="E8" s="77"/>
      <c r="F8" s="77"/>
      <c r="G8" s="77"/>
      <c r="H8" s="78"/>
      <c r="I8" s="35" t="s">
        <v>120</v>
      </c>
      <c r="J8" s="63"/>
      <c r="K8" s="37"/>
      <c r="L8" s="37"/>
      <c r="M8" s="37"/>
      <c r="N8" s="37"/>
      <c r="O8" s="37"/>
    </row>
    <row r="9" spans="1:15" hidden="1">
      <c r="A9" s="37"/>
      <c r="B9" s="168"/>
      <c r="C9" s="75" t="s">
        <v>195</v>
      </c>
      <c r="D9" s="76">
        <v>131</v>
      </c>
      <c r="E9" s="77"/>
      <c r="F9" s="77"/>
      <c r="G9" s="77"/>
      <c r="H9" s="78"/>
      <c r="I9" s="35" t="s">
        <v>196</v>
      </c>
      <c r="J9" s="63"/>
      <c r="K9" s="37"/>
      <c r="L9" s="37"/>
      <c r="M9" s="37"/>
      <c r="N9" s="37"/>
      <c r="O9" s="37"/>
    </row>
    <row r="10" spans="1:15" hidden="1">
      <c r="A10" s="37"/>
      <c r="B10" s="168"/>
      <c r="C10" s="75" t="s">
        <v>197</v>
      </c>
      <c r="D10" s="76">
        <v>50</v>
      </c>
      <c r="E10" s="77"/>
      <c r="F10" s="77"/>
      <c r="G10" s="77"/>
      <c r="H10" s="78"/>
      <c r="I10" s="35" t="s">
        <v>127</v>
      </c>
      <c r="J10" s="63"/>
      <c r="K10" s="37"/>
      <c r="L10" s="37"/>
      <c r="M10" s="37"/>
      <c r="N10" s="37"/>
      <c r="O10" s="37"/>
    </row>
    <row r="11" spans="1:15" hidden="1">
      <c r="A11" s="37"/>
      <c r="B11" s="168"/>
      <c r="C11" s="75" t="s">
        <v>198</v>
      </c>
      <c r="D11" s="76">
        <v>100</v>
      </c>
      <c r="E11" s="77"/>
      <c r="F11" s="77"/>
      <c r="G11" s="77"/>
      <c r="H11" s="78"/>
      <c r="I11" s="35" t="s">
        <v>199</v>
      </c>
      <c r="J11" s="63"/>
      <c r="K11" s="37"/>
      <c r="L11" s="37"/>
      <c r="M11" s="37"/>
      <c r="N11" s="37"/>
      <c r="O11" s="37"/>
    </row>
    <row r="12" spans="1:15" hidden="1">
      <c r="A12" s="37"/>
      <c r="B12" s="168"/>
      <c r="C12" s="75" t="s">
        <v>200</v>
      </c>
      <c r="D12" s="76">
        <v>50</v>
      </c>
      <c r="E12" s="76" t="s">
        <v>201</v>
      </c>
      <c r="F12" s="77"/>
      <c r="G12" s="77"/>
      <c r="H12" s="78"/>
      <c r="I12" s="35" t="s">
        <v>140</v>
      </c>
      <c r="J12" s="63"/>
      <c r="K12" s="37"/>
      <c r="L12" s="37"/>
      <c r="M12" s="37"/>
      <c r="N12" s="37"/>
      <c r="O12" s="37"/>
    </row>
    <row r="13" spans="1:15" hidden="1">
      <c r="A13" s="37"/>
      <c r="B13" s="168"/>
      <c r="C13" s="75" t="s">
        <v>202</v>
      </c>
      <c r="D13" s="76">
        <v>90</v>
      </c>
      <c r="E13" s="77"/>
      <c r="F13" s="77"/>
      <c r="G13" s="77"/>
      <c r="H13" s="78"/>
      <c r="I13" s="35" t="s">
        <v>203</v>
      </c>
      <c r="J13" s="63"/>
      <c r="K13" s="37"/>
      <c r="L13" s="37"/>
      <c r="M13" s="37"/>
      <c r="N13" s="37"/>
      <c r="O13" s="37"/>
    </row>
    <row r="14" spans="1:15" hidden="1">
      <c r="A14" s="37"/>
      <c r="B14" s="168"/>
      <c r="C14" s="75" t="s">
        <v>204</v>
      </c>
      <c r="D14" s="76">
        <v>50</v>
      </c>
      <c r="E14" s="77"/>
      <c r="F14" s="77"/>
      <c r="G14" s="77"/>
      <c r="H14" s="78"/>
      <c r="I14" s="35" t="s">
        <v>205</v>
      </c>
      <c r="J14" s="63"/>
      <c r="K14" s="37"/>
      <c r="L14" s="37"/>
      <c r="M14" s="37"/>
      <c r="N14" s="37"/>
      <c r="O14" s="37"/>
    </row>
    <row r="15" spans="1:15" hidden="1">
      <c r="A15" s="37"/>
      <c r="B15" s="168"/>
      <c r="C15" s="75" t="s">
        <v>135</v>
      </c>
      <c r="D15" s="76">
        <v>150</v>
      </c>
      <c r="E15" s="77"/>
      <c r="F15" s="77"/>
      <c r="G15" s="77"/>
      <c r="H15" s="78"/>
      <c r="I15" s="63"/>
      <c r="J15" s="63"/>
      <c r="K15" s="37"/>
      <c r="L15" s="37"/>
      <c r="M15" s="37"/>
      <c r="N15" s="37"/>
      <c r="O15" s="37"/>
    </row>
    <row r="16" spans="1:15" hidden="1">
      <c r="A16" s="37"/>
      <c r="B16" s="168"/>
      <c r="C16" s="75" t="s">
        <v>206</v>
      </c>
      <c r="D16" s="76">
        <v>100</v>
      </c>
      <c r="E16" s="77"/>
      <c r="F16" s="77"/>
      <c r="G16" s="77"/>
      <c r="H16" s="78"/>
      <c r="I16" s="63"/>
      <c r="J16" s="63"/>
      <c r="K16" s="37"/>
      <c r="L16" s="37"/>
      <c r="M16" s="37"/>
      <c r="N16" s="37"/>
      <c r="O16" s="37"/>
    </row>
    <row r="17" spans="1:15" hidden="1">
      <c r="A17" s="37"/>
      <c r="B17" s="168"/>
      <c r="C17" s="75"/>
      <c r="D17" s="76"/>
      <c r="E17" s="77"/>
      <c r="F17" s="77"/>
      <c r="G17" s="77"/>
      <c r="H17" s="78"/>
      <c r="I17" s="63"/>
      <c r="J17" s="63"/>
      <c r="K17" s="37"/>
      <c r="L17" s="37"/>
      <c r="M17" s="37"/>
      <c r="N17" s="37"/>
      <c r="O17" s="37"/>
    </row>
    <row r="18" spans="1:15" hidden="1">
      <c r="A18" s="37"/>
      <c r="B18" s="168"/>
      <c r="C18" s="75" t="s">
        <v>207</v>
      </c>
      <c r="D18" s="76"/>
      <c r="E18" s="77"/>
      <c r="F18" s="77"/>
      <c r="G18" s="77"/>
      <c r="H18" s="78"/>
      <c r="I18" s="63"/>
      <c r="J18" s="63"/>
      <c r="K18" s="37"/>
      <c r="L18" s="37"/>
      <c r="M18" s="37"/>
      <c r="N18" s="37"/>
      <c r="O18" s="37"/>
    </row>
    <row r="19" spans="1:15" hidden="1">
      <c r="A19" s="37"/>
      <c r="B19" s="167"/>
      <c r="C19" s="75" t="s">
        <v>84</v>
      </c>
      <c r="D19" s="77">
        <f>SUM(D6:D18)</f>
        <v>3221</v>
      </c>
      <c r="E19" s="77"/>
      <c r="F19" s="77"/>
      <c r="G19" s="77"/>
      <c r="H19" s="78"/>
      <c r="I19" s="63"/>
      <c r="J19" s="63"/>
      <c r="K19" s="37"/>
      <c r="L19" s="37"/>
      <c r="M19" s="37"/>
      <c r="N19" s="37"/>
      <c r="O19" s="37"/>
    </row>
    <row r="20" spans="1:15" hidden="1">
      <c r="A20" s="37"/>
      <c r="B20" s="71" t="s">
        <v>208</v>
      </c>
      <c r="C20" s="72"/>
      <c r="D20" s="73">
        <f>D5-D19</f>
        <v>2779</v>
      </c>
      <c r="E20" s="73"/>
      <c r="F20" s="73"/>
      <c r="G20" s="73"/>
      <c r="H20" s="73"/>
      <c r="I20" s="73"/>
      <c r="J20" s="73"/>
      <c r="K20" s="37"/>
      <c r="L20" s="37"/>
      <c r="M20" s="37"/>
      <c r="N20" s="37"/>
      <c r="O20" s="37"/>
    </row>
    <row r="21" spans="1:15">
      <c r="A21" s="37"/>
      <c r="B21" s="37"/>
      <c r="C21" s="37"/>
      <c r="D21" s="63"/>
      <c r="E21" s="63"/>
      <c r="F21" s="63"/>
      <c r="G21" s="63"/>
      <c r="H21" s="63"/>
      <c r="I21" s="63"/>
      <c r="J21" s="63"/>
      <c r="K21" s="37"/>
      <c r="L21" s="37"/>
      <c r="M21" s="37"/>
      <c r="N21" s="37"/>
      <c r="O21" s="37"/>
    </row>
    <row r="22" spans="1:15" ht="12" customHeight="1">
      <c r="A22" s="37"/>
      <c r="B22" s="11" t="s">
        <v>169</v>
      </c>
      <c r="D22" s="12"/>
      <c r="E22" s="12"/>
      <c r="F22" s="12"/>
      <c r="G22" s="12"/>
    </row>
    <row r="23" spans="1:15">
      <c r="A23" s="37"/>
      <c r="B23" s="13" t="s">
        <v>12</v>
      </c>
      <c r="C23" s="14" t="s">
        <v>13</v>
      </c>
      <c r="D23" s="14" t="s">
        <v>14</v>
      </c>
      <c r="E23" s="14" t="s">
        <v>15</v>
      </c>
      <c r="F23" s="14" t="s">
        <v>16</v>
      </c>
      <c r="G23" s="35"/>
    </row>
    <row r="24" spans="1:15">
      <c r="A24" s="37"/>
      <c r="B24" s="15" t="s">
        <v>19</v>
      </c>
      <c r="C24" s="16" t="s">
        <v>19</v>
      </c>
      <c r="D24" s="16" t="s">
        <v>19</v>
      </c>
      <c r="E24" s="16" t="s">
        <v>19</v>
      </c>
      <c r="F24" s="17" t="s">
        <v>19</v>
      </c>
      <c r="G24" s="63"/>
    </row>
    <row r="25" spans="1:15">
      <c r="A25" s="37"/>
      <c r="B25" s="18" t="s">
        <v>20</v>
      </c>
      <c r="C25" s="19">
        <v>30000</v>
      </c>
      <c r="D25" s="19">
        <v>134647.04999999999</v>
      </c>
      <c r="E25" s="20">
        <f t="shared" ref="E25:E29" si="0">D25-C25</f>
        <v>104647.04999999999</v>
      </c>
      <c r="F25" s="21">
        <f t="shared" ref="F25:F27" si="1">(E25-C25)/C25</f>
        <v>2.4882349999999995</v>
      </c>
      <c r="G25" s="35"/>
    </row>
    <row r="26" spans="1:15">
      <c r="A26" s="37"/>
      <c r="B26" s="18" t="s">
        <v>21</v>
      </c>
      <c r="C26" s="19">
        <v>361900</v>
      </c>
      <c r="D26" s="19">
        <v>563400</v>
      </c>
      <c r="E26" s="20">
        <f t="shared" si="0"/>
        <v>201500</v>
      </c>
      <c r="F26" s="21">
        <f t="shared" si="1"/>
        <v>-0.44321635810997512</v>
      </c>
      <c r="G26" s="63"/>
    </row>
    <row r="27" spans="1:15">
      <c r="A27" s="37"/>
      <c r="B27" s="18" t="s">
        <v>22</v>
      </c>
      <c r="C27" s="19">
        <v>35000</v>
      </c>
      <c r="D27" s="19">
        <v>83000</v>
      </c>
      <c r="E27" s="20">
        <f t="shared" si="0"/>
        <v>48000</v>
      </c>
      <c r="F27" s="21">
        <f t="shared" si="1"/>
        <v>0.37142857142857144</v>
      </c>
      <c r="G27" s="35"/>
    </row>
    <row r="28" spans="1:15">
      <c r="A28" s="37"/>
      <c r="B28" s="18" t="s">
        <v>209</v>
      </c>
      <c r="C28" s="19">
        <v>0</v>
      </c>
      <c r="D28" s="19">
        <v>100</v>
      </c>
      <c r="E28" s="20">
        <f t="shared" si="0"/>
        <v>100</v>
      </c>
      <c r="F28" s="22">
        <v>0</v>
      </c>
      <c r="G28" s="35"/>
    </row>
    <row r="29" spans="1:15">
      <c r="A29" s="37"/>
      <c r="B29" s="18" t="s">
        <v>85</v>
      </c>
      <c r="C29" s="19">
        <v>630</v>
      </c>
      <c r="D29" s="19">
        <v>14970.19</v>
      </c>
      <c r="E29" s="20">
        <f t="shared" si="0"/>
        <v>14340.19</v>
      </c>
      <c r="F29" s="21">
        <f t="shared" ref="F29:F36" si="2">(E29-C29)/C29</f>
        <v>21.762206349206352</v>
      </c>
      <c r="G29" s="63"/>
    </row>
    <row r="30" spans="1:15">
      <c r="A30" s="37"/>
      <c r="B30" s="18" t="s">
        <v>24</v>
      </c>
      <c r="C30" s="19">
        <v>1000</v>
      </c>
      <c r="D30" s="19">
        <v>5000</v>
      </c>
      <c r="E30" s="20">
        <f>D30-F40</f>
        <v>5000.2512244113896</v>
      </c>
      <c r="F30" s="21">
        <f t="shared" si="2"/>
        <v>4.0002512244113895</v>
      </c>
      <c r="G30" s="63"/>
    </row>
    <row r="31" spans="1:15">
      <c r="A31" s="37"/>
      <c r="B31" s="18" t="s">
        <v>58</v>
      </c>
      <c r="C31" s="19">
        <v>9500</v>
      </c>
      <c r="D31" s="19">
        <v>14000</v>
      </c>
      <c r="E31" s="20">
        <f t="shared" ref="E31:E36" si="3">D31-C31</f>
        <v>4500</v>
      </c>
      <c r="F31" s="21">
        <f t="shared" si="2"/>
        <v>-0.52631578947368418</v>
      </c>
      <c r="G31" s="35"/>
    </row>
    <row r="32" spans="1:15">
      <c r="A32" s="37"/>
      <c r="B32" s="18" t="s">
        <v>30</v>
      </c>
      <c r="C32" s="19">
        <v>220</v>
      </c>
      <c r="D32" s="19">
        <v>2000</v>
      </c>
      <c r="E32" s="20">
        <f t="shared" si="3"/>
        <v>1780</v>
      </c>
      <c r="F32" s="21">
        <f t="shared" si="2"/>
        <v>7.0909090909090908</v>
      </c>
      <c r="G32" s="63"/>
    </row>
    <row r="33" spans="1:15">
      <c r="A33" s="37"/>
      <c r="B33" s="18" t="s">
        <v>31</v>
      </c>
      <c r="C33" s="19">
        <v>17000</v>
      </c>
      <c r="D33" s="19">
        <v>6500</v>
      </c>
      <c r="E33" s="20">
        <f t="shared" si="3"/>
        <v>-10500</v>
      </c>
      <c r="F33" s="21">
        <f t="shared" si="2"/>
        <v>-1.6176470588235294</v>
      </c>
    </row>
    <row r="34" spans="1:15">
      <c r="A34" s="37"/>
      <c r="B34" s="18" t="s">
        <v>172</v>
      </c>
      <c r="C34" s="19">
        <v>15000</v>
      </c>
      <c r="D34" s="19">
        <v>18600</v>
      </c>
      <c r="E34" s="20">
        <f t="shared" si="3"/>
        <v>3600</v>
      </c>
      <c r="F34" s="21">
        <f t="shared" si="2"/>
        <v>-0.76</v>
      </c>
    </row>
    <row r="35" spans="1:15">
      <c r="A35" s="37"/>
      <c r="B35" s="18" t="s">
        <v>59</v>
      </c>
      <c r="C35" s="19">
        <v>1000</v>
      </c>
      <c r="D35" s="19">
        <v>3000</v>
      </c>
      <c r="E35" s="20">
        <f t="shared" si="3"/>
        <v>2000</v>
      </c>
      <c r="F35" s="21">
        <f t="shared" si="2"/>
        <v>1</v>
      </c>
      <c r="G35" s="35"/>
    </row>
    <row r="36" spans="1:15">
      <c r="A36" s="37"/>
      <c r="B36" s="18" t="s">
        <v>210</v>
      </c>
      <c r="C36" s="19">
        <v>12000</v>
      </c>
      <c r="D36" s="19">
        <v>8000</v>
      </c>
      <c r="E36" s="20">
        <f t="shared" si="3"/>
        <v>-4000</v>
      </c>
      <c r="F36" s="21">
        <f t="shared" si="2"/>
        <v>-1.3333333333333333</v>
      </c>
      <c r="G36" s="63"/>
    </row>
    <row r="37" spans="1:15">
      <c r="A37" s="37"/>
      <c r="B37" s="18" t="s">
        <v>34</v>
      </c>
      <c r="C37" s="19">
        <v>60000</v>
      </c>
      <c r="D37" s="19">
        <v>65000</v>
      </c>
      <c r="E37" s="20"/>
      <c r="F37" s="23"/>
      <c r="G37" s="63"/>
    </row>
    <row r="38" spans="1:15">
      <c r="A38" s="37"/>
      <c r="B38" s="18" t="s">
        <v>36</v>
      </c>
      <c r="C38" s="19">
        <v>0</v>
      </c>
      <c r="D38" s="19">
        <v>500</v>
      </c>
      <c r="E38" s="20">
        <f t="shared" ref="E38:E40" si="4">D38-C38</f>
        <v>500</v>
      </c>
      <c r="F38" s="23" t="s">
        <v>37</v>
      </c>
      <c r="G38" s="63"/>
    </row>
    <row r="39" spans="1:15">
      <c r="A39" s="37"/>
      <c r="B39" s="18" t="s">
        <v>40</v>
      </c>
      <c r="C39" s="19">
        <v>45000</v>
      </c>
      <c r="D39" s="19">
        <v>110000</v>
      </c>
      <c r="E39" s="20">
        <f t="shared" si="4"/>
        <v>65000</v>
      </c>
      <c r="F39" s="21">
        <f t="shared" ref="F39:F40" si="5">(E39-C39)/C39</f>
        <v>0.44444444444444442</v>
      </c>
      <c r="G39" s="63"/>
    </row>
    <row r="40" spans="1:15">
      <c r="A40" s="37"/>
      <c r="B40" s="24" t="s">
        <v>41</v>
      </c>
      <c r="C40" s="20">
        <f t="shared" ref="C40:D40" si="6">SUM(C25:C39)</f>
        <v>588250</v>
      </c>
      <c r="D40" s="20">
        <f t="shared" si="6"/>
        <v>1028717.24</v>
      </c>
      <c r="E40" s="20">
        <f t="shared" si="4"/>
        <v>440467.24</v>
      </c>
      <c r="F40" s="21">
        <f t="shared" si="5"/>
        <v>-0.2512244113897153</v>
      </c>
      <c r="G40" s="63"/>
    </row>
    <row r="41" spans="1:15">
      <c r="A41" s="37"/>
      <c r="B41" s="25" t="s">
        <v>42</v>
      </c>
      <c r="C41" s="26" t="s">
        <v>43</v>
      </c>
      <c r="D41" s="26" t="s">
        <v>44</v>
      </c>
      <c r="E41" s="26" t="s">
        <v>45</v>
      </c>
      <c r="F41" s="25" t="s">
        <v>16</v>
      </c>
      <c r="G41" s="35"/>
    </row>
    <row r="42" spans="1:15">
      <c r="A42" s="37"/>
      <c r="B42" s="27" t="s">
        <v>46</v>
      </c>
      <c r="C42" s="28">
        <v>343000</v>
      </c>
      <c r="D42" s="28">
        <v>323000</v>
      </c>
      <c r="E42" s="29">
        <f t="shared" ref="E42:E46" si="7">C42-D42</f>
        <v>20000</v>
      </c>
      <c r="F42" s="30">
        <f t="shared" ref="F42:F47" si="8">E42/C42</f>
        <v>5.8309037900874633E-2</v>
      </c>
      <c r="G42" s="63"/>
    </row>
    <row r="43" spans="1:15">
      <c r="A43" s="37"/>
      <c r="B43" s="27" t="s">
        <v>47</v>
      </c>
      <c r="C43" s="28">
        <v>0</v>
      </c>
      <c r="D43" s="28">
        <v>0</v>
      </c>
      <c r="E43" s="29">
        <f t="shared" si="7"/>
        <v>0</v>
      </c>
      <c r="F43" s="30" t="e">
        <f t="shared" si="8"/>
        <v>#DIV/0!</v>
      </c>
      <c r="G43" s="63"/>
    </row>
    <row r="44" spans="1:15">
      <c r="A44" s="37"/>
      <c r="B44" s="27" t="s">
        <v>174</v>
      </c>
      <c r="C44" s="28">
        <v>0</v>
      </c>
      <c r="D44" s="28">
        <v>0</v>
      </c>
      <c r="E44" s="29">
        <f t="shared" si="7"/>
        <v>0</v>
      </c>
      <c r="F44" s="30" t="e">
        <f t="shared" si="8"/>
        <v>#DIV/0!</v>
      </c>
      <c r="G44" s="63"/>
    </row>
    <row r="45" spans="1:15">
      <c r="A45" s="37"/>
      <c r="B45" s="27" t="s">
        <v>40</v>
      </c>
      <c r="C45" s="28">
        <v>36000</v>
      </c>
      <c r="D45" s="28">
        <v>33000</v>
      </c>
      <c r="E45" s="29">
        <f t="shared" si="7"/>
        <v>3000</v>
      </c>
      <c r="F45" s="30">
        <f t="shared" si="8"/>
        <v>8.3333333333333329E-2</v>
      </c>
      <c r="G45" s="63"/>
    </row>
    <row r="46" spans="1:15">
      <c r="A46" s="37"/>
      <c r="B46" s="27" t="s">
        <v>48</v>
      </c>
      <c r="C46" s="29">
        <f t="shared" ref="C46:D46" si="9">SUM(C42:C45)</f>
        <v>379000</v>
      </c>
      <c r="D46" s="29">
        <f t="shared" si="9"/>
        <v>356000</v>
      </c>
      <c r="E46" s="29">
        <f t="shared" si="7"/>
        <v>23000</v>
      </c>
      <c r="F46" s="30">
        <f t="shared" si="8"/>
        <v>6.0686015831134567E-2</v>
      </c>
      <c r="G46" s="63"/>
    </row>
    <row r="47" spans="1:15">
      <c r="A47" s="37"/>
      <c r="B47" s="31" t="s">
        <v>49</v>
      </c>
      <c r="C47" s="32">
        <f t="shared" ref="C47:D47" si="10">C40-C46</f>
        <v>209250</v>
      </c>
      <c r="D47" s="32">
        <f t="shared" si="10"/>
        <v>672717.24</v>
      </c>
      <c r="E47" s="32">
        <f>D47-C47</f>
        <v>463467.24</v>
      </c>
      <c r="F47" s="34">
        <f t="shared" si="8"/>
        <v>2.2148972043010753</v>
      </c>
      <c r="G47" s="63"/>
    </row>
    <row r="48" spans="1:15">
      <c r="A48" s="37"/>
      <c r="B48" s="37"/>
      <c r="C48" s="37"/>
      <c r="D48" s="63"/>
      <c r="E48" s="63"/>
      <c r="F48" s="63"/>
      <c r="G48" s="63"/>
      <c r="H48" s="63"/>
      <c r="I48" s="63"/>
      <c r="J48" s="63"/>
      <c r="K48" s="37"/>
      <c r="L48" s="37"/>
      <c r="M48" s="37"/>
      <c r="N48" s="37"/>
      <c r="O48" s="37"/>
    </row>
    <row r="49" spans="1:24">
      <c r="A49" s="37"/>
      <c r="B49" s="37"/>
      <c r="C49" s="37"/>
      <c r="D49" s="63"/>
      <c r="E49" s="63"/>
      <c r="F49" s="63"/>
      <c r="G49" s="63"/>
      <c r="H49" s="63"/>
      <c r="I49" s="63"/>
      <c r="J49" s="63"/>
      <c r="K49" s="37"/>
      <c r="L49" s="37"/>
      <c r="M49" s="37"/>
      <c r="N49" s="37"/>
      <c r="O49" s="37"/>
    </row>
    <row r="50" spans="1:24">
      <c r="A50" s="37"/>
      <c r="B50" s="12"/>
      <c r="C50" s="12"/>
      <c r="D50" s="12"/>
      <c r="E50" s="37"/>
      <c r="F50" s="37"/>
      <c r="G50" s="37"/>
      <c r="H50" s="37"/>
      <c r="I50" s="37"/>
    </row>
    <row r="51" spans="1:24">
      <c r="A51" s="37"/>
      <c r="B51" s="35"/>
      <c r="C51" s="79">
        <v>43983</v>
      </c>
      <c r="D51" s="79">
        <v>44013</v>
      </c>
      <c r="E51" s="79">
        <v>44044</v>
      </c>
      <c r="F51" s="14" t="s">
        <v>211</v>
      </c>
      <c r="G51" s="79">
        <v>44136</v>
      </c>
      <c r="H51" s="79">
        <v>44166</v>
      </c>
      <c r="I51" s="80">
        <v>44197</v>
      </c>
      <c r="J51" s="79">
        <v>44228</v>
      </c>
      <c r="K51" s="79">
        <v>44256</v>
      </c>
      <c r="L51" s="79">
        <v>44287</v>
      </c>
      <c r="M51" s="79">
        <v>44348</v>
      </c>
      <c r="N51" s="79">
        <v>44378</v>
      </c>
      <c r="O51" s="79">
        <v>44439</v>
      </c>
      <c r="P51" s="14" t="s">
        <v>212</v>
      </c>
      <c r="Q51" s="79">
        <v>44470</v>
      </c>
      <c r="R51" s="79">
        <v>44501</v>
      </c>
      <c r="S51" s="79">
        <v>44531</v>
      </c>
      <c r="T51" s="14" t="s">
        <v>213</v>
      </c>
      <c r="U51" s="81">
        <v>44682</v>
      </c>
      <c r="V51" s="79">
        <v>44713</v>
      </c>
      <c r="W51" s="82">
        <v>44774</v>
      </c>
      <c r="X51" s="83" t="s">
        <v>214</v>
      </c>
    </row>
    <row r="52" spans="1:24">
      <c r="A52" s="37"/>
      <c r="B52" s="36" t="s">
        <v>19</v>
      </c>
      <c r="C52" s="17" t="s">
        <v>19</v>
      </c>
      <c r="D52" s="16" t="s">
        <v>19</v>
      </c>
      <c r="E52" s="16" t="s">
        <v>19</v>
      </c>
      <c r="F52" s="16" t="s">
        <v>19</v>
      </c>
      <c r="G52" s="16" t="s">
        <v>19</v>
      </c>
      <c r="H52" s="16" t="s">
        <v>19</v>
      </c>
      <c r="I52" s="17" t="s">
        <v>19</v>
      </c>
      <c r="J52" s="17" t="s">
        <v>19</v>
      </c>
      <c r="K52" s="17" t="s">
        <v>19</v>
      </c>
      <c r="L52" s="17" t="s">
        <v>19</v>
      </c>
      <c r="M52" s="16" t="s">
        <v>19</v>
      </c>
      <c r="N52" s="16" t="s">
        <v>19</v>
      </c>
      <c r="O52" s="16" t="s">
        <v>19</v>
      </c>
      <c r="P52" s="16" t="s">
        <v>19</v>
      </c>
      <c r="Q52" s="16" t="s">
        <v>19</v>
      </c>
      <c r="R52" s="16" t="s">
        <v>19</v>
      </c>
      <c r="S52" s="16" t="s">
        <v>19</v>
      </c>
      <c r="T52" s="16" t="s">
        <v>19</v>
      </c>
      <c r="U52" s="16" t="s">
        <v>19</v>
      </c>
      <c r="V52" s="16" t="s">
        <v>19</v>
      </c>
      <c r="W52" s="16" t="s">
        <v>19</v>
      </c>
      <c r="X52" s="16" t="s">
        <v>19</v>
      </c>
    </row>
    <row r="53" spans="1:24">
      <c r="A53" s="37"/>
      <c r="B53" s="18" t="s">
        <v>20</v>
      </c>
      <c r="C53" s="19">
        <v>36687</v>
      </c>
      <c r="D53" s="19">
        <v>36687</v>
      </c>
      <c r="E53" s="19">
        <v>36687</v>
      </c>
      <c r="F53" s="19">
        <v>49200</v>
      </c>
      <c r="G53" s="19">
        <v>53888</v>
      </c>
      <c r="H53" s="19">
        <v>58342</v>
      </c>
      <c r="I53" s="19">
        <v>63300</v>
      </c>
      <c r="J53" s="19">
        <v>66000</v>
      </c>
      <c r="K53" s="19">
        <v>68000</v>
      </c>
      <c r="L53" s="19">
        <v>76000</v>
      </c>
      <c r="M53" s="19">
        <v>83000</v>
      </c>
      <c r="N53" s="19">
        <v>85000</v>
      </c>
      <c r="O53" s="19">
        <v>90679</v>
      </c>
      <c r="P53" s="19">
        <v>88656</v>
      </c>
      <c r="Q53" s="19">
        <v>94183</v>
      </c>
      <c r="R53" s="19">
        <v>94183</v>
      </c>
      <c r="S53" s="19">
        <v>99500</v>
      </c>
      <c r="T53" s="19">
        <v>93840</v>
      </c>
      <c r="U53" s="19">
        <v>93840</v>
      </c>
      <c r="V53" s="19">
        <v>93840</v>
      </c>
      <c r="W53" s="19">
        <v>102638</v>
      </c>
      <c r="X53" s="19">
        <v>111044</v>
      </c>
    </row>
    <row r="54" spans="1:24">
      <c r="A54" s="37"/>
      <c r="B54" s="18" t="s">
        <v>21</v>
      </c>
      <c r="C54" s="19">
        <v>365000</v>
      </c>
      <c r="D54" s="19">
        <v>370000</v>
      </c>
      <c r="E54" s="19">
        <v>380000</v>
      </c>
      <c r="F54" s="19">
        <v>400000</v>
      </c>
      <c r="G54" s="19">
        <v>400000</v>
      </c>
      <c r="H54" s="19">
        <v>400000</v>
      </c>
      <c r="I54" s="19">
        <v>400000</v>
      </c>
      <c r="J54" s="19">
        <v>400000</v>
      </c>
      <c r="K54" s="19">
        <v>500000</v>
      </c>
      <c r="L54" s="19">
        <v>500000</v>
      </c>
      <c r="M54" s="19">
        <v>532500</v>
      </c>
      <c r="N54" s="19">
        <v>534000</v>
      </c>
      <c r="O54" s="19">
        <v>535000</v>
      </c>
      <c r="P54" s="19">
        <v>535000</v>
      </c>
      <c r="Q54" s="19">
        <v>537000</v>
      </c>
      <c r="R54" s="19">
        <v>550000</v>
      </c>
      <c r="S54" s="19">
        <v>550000</v>
      </c>
      <c r="T54" s="19">
        <v>550000</v>
      </c>
      <c r="U54" s="19">
        <v>700000</v>
      </c>
      <c r="V54" s="19">
        <v>700000</v>
      </c>
      <c r="W54" s="19">
        <v>643000</v>
      </c>
      <c r="X54" s="19">
        <v>607900</v>
      </c>
    </row>
    <row r="55" spans="1:24">
      <c r="A55" s="37"/>
      <c r="B55" s="18" t="s">
        <v>22</v>
      </c>
      <c r="C55" s="19">
        <v>38458</v>
      </c>
      <c r="D55" s="19">
        <v>45643.98</v>
      </c>
      <c r="E55" s="19">
        <v>45644</v>
      </c>
      <c r="F55" s="19">
        <v>40100</v>
      </c>
      <c r="G55" s="19">
        <v>45100</v>
      </c>
      <c r="H55" s="19">
        <v>45500</v>
      </c>
      <c r="I55" s="19">
        <v>36500</v>
      </c>
      <c r="J55" s="19">
        <v>40000</v>
      </c>
      <c r="K55" s="19">
        <v>40000</v>
      </c>
      <c r="L55" s="19">
        <v>30000</v>
      </c>
      <c r="M55" s="19">
        <v>21000</v>
      </c>
      <c r="N55" s="19">
        <v>28000</v>
      </c>
      <c r="O55" s="19">
        <v>35000</v>
      </c>
      <c r="P55" s="19">
        <v>38000</v>
      </c>
      <c r="Q55" s="19">
        <v>40000</v>
      </c>
      <c r="R55" s="19">
        <v>10200</v>
      </c>
      <c r="S55" s="19">
        <v>20200</v>
      </c>
      <c r="T55" s="19">
        <v>40000</v>
      </c>
      <c r="U55" s="19">
        <v>20000</v>
      </c>
      <c r="V55" s="19">
        <v>50000</v>
      </c>
      <c r="W55" s="19">
        <v>72000</v>
      </c>
      <c r="X55" s="19">
        <v>83000</v>
      </c>
    </row>
    <row r="56" spans="1:24">
      <c r="A56" s="37"/>
      <c r="B56" s="18" t="s">
        <v>57</v>
      </c>
      <c r="C56" s="19">
        <v>1000</v>
      </c>
      <c r="D56" s="19">
        <v>1000</v>
      </c>
      <c r="E56" s="19">
        <v>1000</v>
      </c>
      <c r="F56" s="19">
        <v>1000</v>
      </c>
      <c r="G56" s="19">
        <v>1000</v>
      </c>
      <c r="H56" s="19">
        <v>1000</v>
      </c>
      <c r="I56" s="19">
        <v>0</v>
      </c>
      <c r="J56" s="19">
        <v>0</v>
      </c>
      <c r="K56" s="19">
        <v>1000</v>
      </c>
      <c r="L56" s="19">
        <v>1000</v>
      </c>
      <c r="M56" s="19">
        <v>1000</v>
      </c>
      <c r="N56" s="19">
        <v>1000</v>
      </c>
      <c r="O56" s="19">
        <v>1000</v>
      </c>
      <c r="P56" s="19">
        <v>500</v>
      </c>
      <c r="Q56" s="19">
        <v>1000</v>
      </c>
      <c r="R56" s="19">
        <v>2000</v>
      </c>
      <c r="S56" s="19">
        <v>500</v>
      </c>
      <c r="T56" s="19">
        <v>19000</v>
      </c>
      <c r="U56" s="19">
        <v>12084</v>
      </c>
      <c r="V56" s="19">
        <v>3500</v>
      </c>
      <c r="W56" s="19">
        <v>6200</v>
      </c>
      <c r="X56" s="19">
        <v>100</v>
      </c>
    </row>
    <row r="57" spans="1:24">
      <c r="A57" s="37"/>
      <c r="B57" s="18" t="s">
        <v>85</v>
      </c>
      <c r="C57" s="19">
        <v>1000</v>
      </c>
      <c r="D57" s="19">
        <v>1893</v>
      </c>
      <c r="E57" s="19">
        <v>1893</v>
      </c>
      <c r="F57" s="19">
        <v>2000</v>
      </c>
      <c r="G57" s="19">
        <v>2000</v>
      </c>
      <c r="H57" s="19">
        <v>2000</v>
      </c>
      <c r="I57" s="19">
        <v>4600</v>
      </c>
      <c r="J57" s="19">
        <v>5000</v>
      </c>
      <c r="K57" s="19">
        <v>5000</v>
      </c>
      <c r="L57" s="19">
        <v>5000</v>
      </c>
      <c r="M57" s="19">
        <v>5000</v>
      </c>
      <c r="N57" s="19">
        <v>7500</v>
      </c>
      <c r="O57" s="19">
        <v>8000</v>
      </c>
      <c r="P57" s="19">
        <v>8000</v>
      </c>
      <c r="Q57" s="19">
        <v>8200</v>
      </c>
      <c r="R57" s="19">
        <v>8200</v>
      </c>
      <c r="S57" s="19">
        <v>9300</v>
      </c>
      <c r="T57" s="19">
        <v>12100</v>
      </c>
      <c r="U57" s="19">
        <v>12000</v>
      </c>
      <c r="V57" s="19">
        <v>12000</v>
      </c>
      <c r="W57" s="19">
        <v>15172</v>
      </c>
      <c r="X57" s="19">
        <v>14970.19</v>
      </c>
    </row>
    <row r="58" spans="1:24">
      <c r="A58" s="37"/>
      <c r="B58" s="18" t="s">
        <v>24</v>
      </c>
      <c r="C58" s="19">
        <v>1000</v>
      </c>
      <c r="D58" s="19">
        <v>1000</v>
      </c>
      <c r="E58" s="19">
        <v>1000</v>
      </c>
      <c r="F58" s="19">
        <v>1000</v>
      </c>
      <c r="G58" s="19">
        <v>1000</v>
      </c>
      <c r="H58" s="19">
        <v>1000</v>
      </c>
      <c r="I58" s="19">
        <v>3000</v>
      </c>
      <c r="J58" s="19">
        <v>3000</v>
      </c>
      <c r="K58" s="19">
        <v>4000</v>
      </c>
      <c r="L58" s="19">
        <v>4000</v>
      </c>
      <c r="M58" s="19">
        <v>4000</v>
      </c>
      <c r="N58" s="19">
        <v>4000</v>
      </c>
      <c r="O58" s="19">
        <v>4000</v>
      </c>
      <c r="P58" s="19">
        <v>4000</v>
      </c>
      <c r="Q58" s="19">
        <v>4000</v>
      </c>
      <c r="R58" s="19">
        <v>4000</v>
      </c>
      <c r="S58" s="19">
        <v>4000</v>
      </c>
      <c r="T58" s="19">
        <v>5000</v>
      </c>
      <c r="U58" s="19">
        <v>5000</v>
      </c>
      <c r="V58" s="19">
        <v>5000</v>
      </c>
      <c r="W58" s="19">
        <v>5000</v>
      </c>
      <c r="X58" s="19">
        <v>5000</v>
      </c>
    </row>
    <row r="59" spans="1:24">
      <c r="A59" s="37"/>
      <c r="B59" s="18" t="s">
        <v>58</v>
      </c>
      <c r="C59" s="19">
        <v>9500</v>
      </c>
      <c r="D59" s="19">
        <v>11300</v>
      </c>
      <c r="E59" s="19">
        <v>11500</v>
      </c>
      <c r="F59" s="19">
        <v>11500</v>
      </c>
      <c r="G59" s="19">
        <v>17840</v>
      </c>
      <c r="H59" s="19">
        <v>25800</v>
      </c>
      <c r="I59" s="19">
        <v>32000</v>
      </c>
      <c r="J59" s="19">
        <v>53000</v>
      </c>
      <c r="K59" s="19">
        <v>54000</v>
      </c>
      <c r="L59" s="19">
        <v>55000</v>
      </c>
      <c r="M59" s="19">
        <v>34000</v>
      </c>
      <c r="N59" s="19">
        <v>41500</v>
      </c>
      <c r="O59" s="19">
        <v>50122</v>
      </c>
      <c r="P59" s="19">
        <v>57000</v>
      </c>
      <c r="Q59" s="19">
        <v>63330</v>
      </c>
      <c r="R59" s="19">
        <v>49200</v>
      </c>
      <c r="S59" s="19">
        <v>49200</v>
      </c>
      <c r="T59" s="19">
        <v>40000</v>
      </c>
      <c r="U59" s="19">
        <v>30000</v>
      </c>
      <c r="V59" s="19">
        <v>20000</v>
      </c>
      <c r="W59" s="19">
        <v>14000</v>
      </c>
      <c r="X59" s="19">
        <v>14000</v>
      </c>
    </row>
    <row r="60" spans="1:24">
      <c r="A60" s="37"/>
      <c r="B60" s="18" t="s">
        <v>30</v>
      </c>
      <c r="C60" s="19">
        <v>225</v>
      </c>
      <c r="D60" s="19">
        <v>275</v>
      </c>
      <c r="E60" s="19">
        <v>300</v>
      </c>
      <c r="F60" s="19">
        <v>300</v>
      </c>
      <c r="G60" s="19">
        <v>267</v>
      </c>
      <c r="H60" s="19">
        <v>100</v>
      </c>
      <c r="I60" s="19">
        <v>3600</v>
      </c>
      <c r="J60" s="19">
        <v>21334</v>
      </c>
      <c r="K60" s="19">
        <v>44000</v>
      </c>
      <c r="L60" s="19">
        <v>65500</v>
      </c>
      <c r="M60" s="19">
        <v>54000</v>
      </c>
      <c r="N60" s="19">
        <v>56000</v>
      </c>
      <c r="O60" s="19">
        <v>66400</v>
      </c>
      <c r="P60" s="19">
        <v>62000</v>
      </c>
      <c r="Q60" s="19">
        <v>72000</v>
      </c>
      <c r="R60" s="19">
        <v>97000</v>
      </c>
      <c r="S60" s="19">
        <v>92000</v>
      </c>
      <c r="T60" s="19">
        <v>85400</v>
      </c>
      <c r="U60" s="19">
        <v>89583</v>
      </c>
      <c r="V60" s="19">
        <v>11000</v>
      </c>
      <c r="W60" s="19">
        <v>5000</v>
      </c>
      <c r="X60" s="19">
        <v>2000</v>
      </c>
    </row>
    <row r="61" spans="1:24">
      <c r="A61" s="37"/>
      <c r="B61" s="18" t="s">
        <v>31</v>
      </c>
      <c r="C61" s="19">
        <v>17700</v>
      </c>
      <c r="D61" s="19">
        <v>20400</v>
      </c>
      <c r="E61" s="19">
        <v>20500</v>
      </c>
      <c r="F61" s="19">
        <v>22500</v>
      </c>
      <c r="G61" s="19">
        <v>26000</v>
      </c>
      <c r="H61" s="19">
        <v>34446</v>
      </c>
      <c r="I61" s="19">
        <v>45100</v>
      </c>
      <c r="J61" s="19">
        <v>35300</v>
      </c>
      <c r="K61" s="19">
        <v>35300</v>
      </c>
      <c r="L61" s="19">
        <v>33600</v>
      </c>
      <c r="M61" s="19">
        <v>19000</v>
      </c>
      <c r="N61" s="19">
        <v>19000</v>
      </c>
      <c r="O61" s="19">
        <v>20267</v>
      </c>
      <c r="P61" s="19">
        <v>19881</v>
      </c>
      <c r="Q61" s="19">
        <v>25382</v>
      </c>
      <c r="R61" s="19">
        <v>22500</v>
      </c>
      <c r="S61" s="19">
        <v>22500</v>
      </c>
      <c r="T61" s="19">
        <v>17780</v>
      </c>
      <c r="U61" s="19">
        <v>15767</v>
      </c>
      <c r="V61" s="19">
        <v>9000</v>
      </c>
      <c r="W61" s="19">
        <v>6500</v>
      </c>
      <c r="X61" s="19">
        <v>6500</v>
      </c>
    </row>
    <row r="62" spans="1:24">
      <c r="A62" s="37"/>
      <c r="B62" s="18" t="s">
        <v>172</v>
      </c>
      <c r="C62" s="19">
        <v>15700</v>
      </c>
      <c r="D62" s="19">
        <v>17000</v>
      </c>
      <c r="E62" s="19">
        <v>17000</v>
      </c>
      <c r="F62" s="19">
        <v>18550</v>
      </c>
      <c r="G62" s="19">
        <v>18169</v>
      </c>
      <c r="H62" s="19">
        <v>20682</v>
      </c>
      <c r="I62" s="19">
        <v>29000</v>
      </c>
      <c r="J62" s="19">
        <v>27500</v>
      </c>
      <c r="K62" s="19">
        <v>27500</v>
      </c>
      <c r="L62" s="19">
        <v>30200</v>
      </c>
      <c r="M62" s="19">
        <v>31500</v>
      </c>
      <c r="N62" s="19">
        <v>33165</v>
      </c>
      <c r="O62" s="19">
        <v>36689</v>
      </c>
      <c r="P62" s="19">
        <v>35754</v>
      </c>
      <c r="Q62" s="19">
        <v>43768</v>
      </c>
      <c r="R62" s="19">
        <v>40675</v>
      </c>
      <c r="S62" s="19">
        <v>42000</v>
      </c>
      <c r="T62" s="19">
        <v>32400</v>
      </c>
      <c r="U62" s="19">
        <v>30222</v>
      </c>
      <c r="V62" s="19">
        <v>19000</v>
      </c>
      <c r="W62" s="19">
        <v>18600</v>
      </c>
      <c r="X62" s="19">
        <v>18600</v>
      </c>
    </row>
    <row r="63" spans="1:24">
      <c r="A63" s="37"/>
      <c r="B63" s="18" t="s">
        <v>59</v>
      </c>
      <c r="C63" s="19">
        <v>1000</v>
      </c>
      <c r="D63" s="19">
        <v>1200</v>
      </c>
      <c r="E63" s="19">
        <v>5000</v>
      </c>
      <c r="F63" s="19">
        <v>2300</v>
      </c>
      <c r="G63" s="19">
        <v>790</v>
      </c>
      <c r="H63" s="19">
        <v>2139</v>
      </c>
      <c r="I63" s="19">
        <v>5100</v>
      </c>
      <c r="J63" s="19">
        <v>10300</v>
      </c>
      <c r="K63" s="19">
        <v>9500</v>
      </c>
      <c r="L63" s="19">
        <v>9000</v>
      </c>
      <c r="M63" s="19">
        <v>7700</v>
      </c>
      <c r="N63" s="19">
        <v>6200</v>
      </c>
      <c r="O63" s="19">
        <v>5268</v>
      </c>
      <c r="P63" s="19">
        <v>4111</v>
      </c>
      <c r="Q63" s="19">
        <v>4643</v>
      </c>
      <c r="R63" s="19">
        <v>4643</v>
      </c>
      <c r="S63" s="19">
        <v>4000</v>
      </c>
      <c r="T63" s="19">
        <v>4000</v>
      </c>
      <c r="U63" s="19">
        <v>3500</v>
      </c>
      <c r="V63" s="19">
        <v>3500</v>
      </c>
      <c r="W63" s="19">
        <v>3000</v>
      </c>
      <c r="X63" s="19">
        <v>3000</v>
      </c>
    </row>
    <row r="64" spans="1:24">
      <c r="A64" s="37"/>
      <c r="B64" s="18" t="s">
        <v>210</v>
      </c>
      <c r="C64" s="19">
        <v>8000</v>
      </c>
      <c r="D64" s="19">
        <v>8000</v>
      </c>
      <c r="E64" s="19">
        <v>8000</v>
      </c>
      <c r="F64" s="19">
        <v>8500</v>
      </c>
      <c r="G64" s="19">
        <v>8500</v>
      </c>
      <c r="H64" s="19">
        <v>8500</v>
      </c>
      <c r="I64" s="19">
        <v>8500</v>
      </c>
      <c r="J64" s="19">
        <v>8500</v>
      </c>
      <c r="K64" s="19">
        <v>8000</v>
      </c>
      <c r="L64" s="19">
        <v>8000</v>
      </c>
      <c r="M64" s="19">
        <v>8000</v>
      </c>
      <c r="N64" s="19">
        <v>8000</v>
      </c>
      <c r="O64" s="19">
        <v>10000</v>
      </c>
      <c r="P64" s="19">
        <v>10000</v>
      </c>
      <c r="Q64" s="19">
        <v>10000</v>
      </c>
      <c r="R64" s="19">
        <v>10000</v>
      </c>
      <c r="S64" s="19">
        <v>10000</v>
      </c>
      <c r="T64" s="19">
        <v>10000</v>
      </c>
      <c r="U64" s="19">
        <v>10000</v>
      </c>
      <c r="V64" s="19">
        <v>10000</v>
      </c>
      <c r="W64" s="19">
        <v>10000</v>
      </c>
      <c r="X64" s="19">
        <v>8000</v>
      </c>
    </row>
    <row r="65" spans="1:24">
      <c r="A65" s="37"/>
      <c r="B65" s="18" t="s">
        <v>34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>
        <v>65000</v>
      </c>
      <c r="W65" s="19">
        <v>65000</v>
      </c>
      <c r="X65" s="19">
        <v>65000</v>
      </c>
    </row>
    <row r="66" spans="1:24">
      <c r="A66" s="37"/>
      <c r="B66" s="18" t="s">
        <v>36</v>
      </c>
      <c r="C66" s="19">
        <v>0</v>
      </c>
      <c r="D66" s="19">
        <v>0</v>
      </c>
      <c r="E66" s="19">
        <v>0</v>
      </c>
      <c r="F66" s="19">
        <v>0</v>
      </c>
      <c r="G66" s="19">
        <v>0</v>
      </c>
      <c r="H66" s="19">
        <v>500</v>
      </c>
      <c r="I66" s="19">
        <v>500</v>
      </c>
      <c r="J66" s="19">
        <v>500</v>
      </c>
      <c r="K66" s="19">
        <v>500</v>
      </c>
      <c r="L66" s="19">
        <v>500</v>
      </c>
      <c r="M66" s="19">
        <v>500</v>
      </c>
      <c r="N66" s="19">
        <v>500</v>
      </c>
      <c r="O66" s="19">
        <v>500</v>
      </c>
      <c r="P66" s="19">
        <v>500</v>
      </c>
      <c r="Q66" s="19">
        <v>500</v>
      </c>
      <c r="R66" s="19">
        <v>500</v>
      </c>
      <c r="S66" s="19">
        <v>500</v>
      </c>
      <c r="T66" s="19">
        <v>500</v>
      </c>
      <c r="U66" s="19">
        <v>500</v>
      </c>
      <c r="V66" s="19">
        <v>500</v>
      </c>
      <c r="W66" s="19">
        <v>500</v>
      </c>
      <c r="X66" s="19">
        <v>500</v>
      </c>
    </row>
    <row r="67" spans="1:24">
      <c r="A67" s="37"/>
      <c r="B67" s="18" t="s">
        <v>60</v>
      </c>
      <c r="C67" s="19"/>
      <c r="D67" s="19"/>
      <c r="E67" s="19"/>
      <c r="F67" s="19"/>
      <c r="G67" s="19"/>
      <c r="H67" s="19"/>
      <c r="I67" s="19" t="s">
        <v>69</v>
      </c>
      <c r="J67" s="19" t="s">
        <v>69</v>
      </c>
      <c r="K67" s="19" t="s">
        <v>69</v>
      </c>
      <c r="L67" s="19" t="s">
        <v>69</v>
      </c>
      <c r="M67" s="19">
        <v>80000</v>
      </c>
      <c r="N67" s="19">
        <v>80000</v>
      </c>
      <c r="O67" s="19">
        <v>130000</v>
      </c>
      <c r="P67" s="19">
        <v>130000</v>
      </c>
      <c r="Q67" s="19">
        <v>130000</v>
      </c>
      <c r="R67" s="19">
        <v>130000</v>
      </c>
      <c r="S67" s="19">
        <v>130000</v>
      </c>
      <c r="T67" s="19">
        <v>130000</v>
      </c>
      <c r="U67" s="19">
        <v>133000</v>
      </c>
      <c r="V67" s="19">
        <v>133000</v>
      </c>
      <c r="W67" s="19">
        <v>133000</v>
      </c>
      <c r="X67" s="19">
        <v>110000</v>
      </c>
    </row>
    <row r="68" spans="1:24">
      <c r="A68" s="37"/>
      <c r="B68" s="24" t="s">
        <v>41</v>
      </c>
      <c r="C68" s="20">
        <v>494453</v>
      </c>
      <c r="D68" s="20">
        <f t="shared" ref="D68:H68" si="11">SUM(D53:D66)</f>
        <v>514398.98</v>
      </c>
      <c r="E68" s="20">
        <f t="shared" si="11"/>
        <v>528524</v>
      </c>
      <c r="F68" s="20">
        <f t="shared" si="11"/>
        <v>556950</v>
      </c>
      <c r="G68" s="20">
        <f t="shared" si="11"/>
        <v>574554</v>
      </c>
      <c r="H68" s="20">
        <f t="shared" si="11"/>
        <v>600009</v>
      </c>
      <c r="I68" s="20">
        <f t="shared" ref="I68:X68" si="12">SUM(I53:I67)</f>
        <v>631200</v>
      </c>
      <c r="J68" s="20">
        <f t="shared" si="12"/>
        <v>670434</v>
      </c>
      <c r="K68" s="20">
        <f t="shared" si="12"/>
        <v>796800</v>
      </c>
      <c r="L68" s="20">
        <f t="shared" si="12"/>
        <v>817800</v>
      </c>
      <c r="M68" s="20">
        <f t="shared" si="12"/>
        <v>881200</v>
      </c>
      <c r="N68" s="20">
        <f t="shared" si="12"/>
        <v>903865</v>
      </c>
      <c r="O68" s="20">
        <f t="shared" si="12"/>
        <v>992925</v>
      </c>
      <c r="P68" s="20">
        <f t="shared" si="12"/>
        <v>993402</v>
      </c>
      <c r="Q68" s="20">
        <f t="shared" si="12"/>
        <v>1034006</v>
      </c>
      <c r="R68" s="20">
        <f t="shared" si="12"/>
        <v>1023101</v>
      </c>
      <c r="S68" s="20">
        <f t="shared" si="12"/>
        <v>1033700</v>
      </c>
      <c r="T68" s="20">
        <f t="shared" si="12"/>
        <v>1040020</v>
      </c>
      <c r="U68" s="20">
        <f t="shared" si="12"/>
        <v>1155496</v>
      </c>
      <c r="V68" s="20">
        <f t="shared" si="12"/>
        <v>1135340</v>
      </c>
      <c r="W68" s="20">
        <f t="shared" si="12"/>
        <v>1099610</v>
      </c>
      <c r="X68" s="20">
        <f t="shared" si="12"/>
        <v>1049614.19</v>
      </c>
    </row>
    <row r="69" spans="1:24">
      <c r="A69" s="37"/>
      <c r="B69" s="25" t="s">
        <v>42</v>
      </c>
      <c r="C69" s="26" t="s">
        <v>215</v>
      </c>
      <c r="D69" s="26" t="s">
        <v>215</v>
      </c>
      <c r="E69" s="26" t="s">
        <v>215</v>
      </c>
      <c r="F69" s="26" t="s">
        <v>215</v>
      </c>
      <c r="G69" s="26" t="s">
        <v>215</v>
      </c>
      <c r="H69" s="26" t="s">
        <v>215</v>
      </c>
      <c r="I69" s="26" t="s">
        <v>215</v>
      </c>
      <c r="J69" s="26" t="s">
        <v>215</v>
      </c>
      <c r="K69" s="26" t="s">
        <v>215</v>
      </c>
      <c r="L69" s="26" t="s">
        <v>215</v>
      </c>
      <c r="M69" s="26" t="s">
        <v>215</v>
      </c>
      <c r="N69" s="26" t="s">
        <v>215</v>
      </c>
      <c r="O69" s="26" t="s">
        <v>215</v>
      </c>
      <c r="P69" s="26" t="s">
        <v>215</v>
      </c>
      <c r="Q69" s="26" t="s">
        <v>215</v>
      </c>
      <c r="R69" s="26" t="s">
        <v>215</v>
      </c>
      <c r="S69" s="26" t="s">
        <v>215</v>
      </c>
      <c r="T69" s="26" t="s">
        <v>215</v>
      </c>
      <c r="U69" s="26" t="s">
        <v>215</v>
      </c>
      <c r="V69" s="26" t="s">
        <v>215</v>
      </c>
      <c r="W69" s="26" t="s">
        <v>44</v>
      </c>
      <c r="X69" s="26" t="s">
        <v>44</v>
      </c>
    </row>
    <row r="70" spans="1:24">
      <c r="A70" s="37"/>
      <c r="B70" s="27" t="s">
        <v>46</v>
      </c>
      <c r="C70" s="28">
        <v>341500</v>
      </c>
      <c r="D70" s="28">
        <v>341500</v>
      </c>
      <c r="E70" s="28">
        <v>340000</v>
      </c>
      <c r="F70" s="28">
        <v>340000</v>
      </c>
      <c r="G70" s="28">
        <v>340000</v>
      </c>
      <c r="H70" s="28">
        <v>338000</v>
      </c>
      <c r="I70" s="28">
        <v>338000</v>
      </c>
      <c r="J70" s="28">
        <v>337000</v>
      </c>
      <c r="K70" s="28">
        <v>336000</v>
      </c>
      <c r="L70" s="28">
        <v>335000</v>
      </c>
      <c r="M70" s="28">
        <v>334000</v>
      </c>
      <c r="N70" s="28">
        <v>333000</v>
      </c>
      <c r="O70" s="28">
        <v>333000</v>
      </c>
      <c r="P70" s="28">
        <v>332000</v>
      </c>
      <c r="Q70" s="28">
        <v>332000</v>
      </c>
      <c r="R70" s="28">
        <v>330989</v>
      </c>
      <c r="S70" s="28">
        <v>330989</v>
      </c>
      <c r="T70" s="28">
        <v>330989</v>
      </c>
      <c r="U70" s="28">
        <v>329000</v>
      </c>
      <c r="V70" s="28">
        <v>329000</v>
      </c>
      <c r="W70" s="28">
        <v>324000</v>
      </c>
      <c r="X70" s="28">
        <v>323000</v>
      </c>
    </row>
    <row r="71" spans="1:24">
      <c r="A71" s="37"/>
      <c r="B71" s="27" t="s">
        <v>47</v>
      </c>
      <c r="C71" s="28">
        <v>1500</v>
      </c>
      <c r="D71" s="28">
        <v>3400</v>
      </c>
      <c r="E71" s="28">
        <v>0</v>
      </c>
      <c r="F71" s="28">
        <v>0</v>
      </c>
      <c r="G71" s="28">
        <v>2000</v>
      </c>
      <c r="H71" s="28">
        <v>5587</v>
      </c>
      <c r="I71" s="28">
        <v>0</v>
      </c>
      <c r="J71" s="28">
        <v>0</v>
      </c>
      <c r="K71" s="28">
        <v>0</v>
      </c>
      <c r="L71" s="28">
        <v>1000</v>
      </c>
      <c r="M71" s="28">
        <v>0</v>
      </c>
      <c r="N71" s="28">
        <v>0</v>
      </c>
      <c r="O71" s="28">
        <v>3000</v>
      </c>
      <c r="P71" s="28">
        <v>5372</v>
      </c>
      <c r="Q71" s="28">
        <v>5000</v>
      </c>
      <c r="R71" s="28">
        <v>4000</v>
      </c>
      <c r="S71" s="28">
        <v>4000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</row>
    <row r="72" spans="1:24">
      <c r="A72" s="37"/>
      <c r="B72" s="27" t="s">
        <v>174</v>
      </c>
      <c r="C72" s="28">
        <v>13000</v>
      </c>
      <c r="D72" s="28">
        <v>13000</v>
      </c>
      <c r="E72" s="28">
        <v>13000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  <c r="K72" s="28">
        <v>0</v>
      </c>
      <c r="L72" s="28">
        <v>12000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</row>
    <row r="73" spans="1:24">
      <c r="A73" s="37"/>
      <c r="B73" s="27" t="s">
        <v>60</v>
      </c>
      <c r="C73" s="28"/>
      <c r="D73" s="28"/>
      <c r="E73" s="28"/>
      <c r="F73" s="28"/>
      <c r="G73" s="28"/>
      <c r="H73" s="28"/>
      <c r="I73" s="28">
        <v>0</v>
      </c>
      <c r="J73" s="28">
        <v>0</v>
      </c>
      <c r="K73" s="28">
        <v>0</v>
      </c>
      <c r="L73" s="28">
        <v>0</v>
      </c>
      <c r="M73" s="28">
        <v>36000</v>
      </c>
      <c r="N73" s="28">
        <v>36000</v>
      </c>
      <c r="O73" s="28">
        <v>36000</v>
      </c>
      <c r="P73" s="28">
        <v>35669</v>
      </c>
      <c r="Q73" s="28">
        <v>35669</v>
      </c>
      <c r="R73" s="28">
        <v>35336</v>
      </c>
      <c r="S73" s="28">
        <v>35336</v>
      </c>
      <c r="T73" s="28">
        <v>32000</v>
      </c>
      <c r="U73" s="28">
        <v>32000</v>
      </c>
      <c r="V73" s="28">
        <v>32000</v>
      </c>
      <c r="W73" s="28">
        <v>33000</v>
      </c>
      <c r="X73" s="28">
        <v>33000</v>
      </c>
    </row>
    <row r="74" spans="1:24">
      <c r="A74" s="37"/>
      <c r="B74" s="27" t="s">
        <v>48</v>
      </c>
      <c r="C74" s="29">
        <v>356000</v>
      </c>
      <c r="D74" s="29">
        <f t="shared" ref="D74:H74" si="13">SUM(D70:D72)</f>
        <v>357900</v>
      </c>
      <c r="E74" s="29">
        <f t="shared" si="13"/>
        <v>353000</v>
      </c>
      <c r="F74" s="29">
        <f t="shared" si="13"/>
        <v>340000</v>
      </c>
      <c r="G74" s="29">
        <f t="shared" si="13"/>
        <v>342000</v>
      </c>
      <c r="H74" s="29">
        <f t="shared" si="13"/>
        <v>343587</v>
      </c>
      <c r="I74" s="29">
        <f>SUM(I70:I73)</f>
        <v>338000</v>
      </c>
      <c r="J74" s="29">
        <f t="shared" ref="J74:L74" si="14">SUM(J70:J72)</f>
        <v>337000</v>
      </c>
      <c r="K74" s="29">
        <f t="shared" si="14"/>
        <v>336000</v>
      </c>
      <c r="L74" s="29">
        <f t="shared" si="14"/>
        <v>348000</v>
      </c>
      <c r="M74" s="29">
        <f t="shared" ref="M74:X74" si="15">SUM(M70:M73)</f>
        <v>370000</v>
      </c>
      <c r="N74" s="29">
        <f t="shared" si="15"/>
        <v>369000</v>
      </c>
      <c r="O74" s="29">
        <f t="shared" si="15"/>
        <v>372000</v>
      </c>
      <c r="P74" s="29">
        <f t="shared" si="15"/>
        <v>373041</v>
      </c>
      <c r="Q74" s="29">
        <f t="shared" si="15"/>
        <v>372669</v>
      </c>
      <c r="R74" s="29">
        <f t="shared" si="15"/>
        <v>370325</v>
      </c>
      <c r="S74" s="29">
        <f t="shared" si="15"/>
        <v>370325</v>
      </c>
      <c r="T74" s="29">
        <f t="shared" si="15"/>
        <v>362989</v>
      </c>
      <c r="U74" s="29">
        <f t="shared" si="15"/>
        <v>361000</v>
      </c>
      <c r="V74" s="29">
        <f t="shared" si="15"/>
        <v>361000</v>
      </c>
      <c r="W74" s="29">
        <f t="shared" si="15"/>
        <v>357000</v>
      </c>
      <c r="X74" s="29">
        <f t="shared" si="15"/>
        <v>356000</v>
      </c>
    </row>
    <row r="75" spans="1:24">
      <c r="A75" s="37"/>
      <c r="B75" s="31" t="s">
        <v>61</v>
      </c>
      <c r="C75" s="32">
        <v>139770</v>
      </c>
      <c r="D75" s="32">
        <f t="shared" ref="D75:X75" si="16">D68-D74</f>
        <v>156498.97999999998</v>
      </c>
      <c r="E75" s="32">
        <f t="shared" si="16"/>
        <v>175524</v>
      </c>
      <c r="F75" s="32">
        <f t="shared" si="16"/>
        <v>216950</v>
      </c>
      <c r="G75" s="32">
        <f t="shared" si="16"/>
        <v>232554</v>
      </c>
      <c r="H75" s="32">
        <f t="shared" si="16"/>
        <v>256422</v>
      </c>
      <c r="I75" s="32">
        <f t="shared" si="16"/>
        <v>293200</v>
      </c>
      <c r="J75" s="32">
        <f t="shared" si="16"/>
        <v>333434</v>
      </c>
      <c r="K75" s="32">
        <f t="shared" si="16"/>
        <v>460800</v>
      </c>
      <c r="L75" s="32">
        <f t="shared" si="16"/>
        <v>469800</v>
      </c>
      <c r="M75" s="32">
        <f t="shared" si="16"/>
        <v>511200</v>
      </c>
      <c r="N75" s="32">
        <f t="shared" si="16"/>
        <v>534865</v>
      </c>
      <c r="O75" s="32">
        <f t="shared" si="16"/>
        <v>620925</v>
      </c>
      <c r="P75" s="32">
        <f t="shared" si="16"/>
        <v>620361</v>
      </c>
      <c r="Q75" s="32">
        <f t="shared" si="16"/>
        <v>661337</v>
      </c>
      <c r="R75" s="32">
        <f t="shared" si="16"/>
        <v>652776</v>
      </c>
      <c r="S75" s="32">
        <f t="shared" si="16"/>
        <v>663375</v>
      </c>
      <c r="T75" s="32">
        <f t="shared" si="16"/>
        <v>677031</v>
      </c>
      <c r="U75" s="32">
        <f t="shared" si="16"/>
        <v>794496</v>
      </c>
      <c r="V75" s="32">
        <f t="shared" si="16"/>
        <v>774340</v>
      </c>
      <c r="W75" s="32">
        <f t="shared" si="16"/>
        <v>742610</v>
      </c>
      <c r="X75" s="32">
        <f t="shared" si="16"/>
        <v>693614.19</v>
      </c>
    </row>
    <row r="76" spans="1:24">
      <c r="A76" s="37"/>
      <c r="B76" s="37"/>
      <c r="C76" s="37"/>
      <c r="D76" s="63"/>
      <c r="E76" s="63"/>
      <c r="F76" s="63"/>
      <c r="G76" s="63"/>
      <c r="H76" s="63"/>
      <c r="I76" s="63"/>
      <c r="J76" s="63"/>
      <c r="K76" s="37"/>
      <c r="L76" s="37"/>
      <c r="M76" s="37"/>
      <c r="N76" s="37"/>
      <c r="O76" s="37"/>
    </row>
    <row r="77" spans="1:24">
      <c r="A77" s="37"/>
      <c r="B77" s="37"/>
      <c r="C77" s="37"/>
      <c r="D77" s="63"/>
      <c r="E77" s="63"/>
      <c r="F77" s="63"/>
      <c r="G77" s="63"/>
      <c r="H77" s="63"/>
      <c r="I77" s="63"/>
      <c r="J77" s="63"/>
      <c r="K77" s="37"/>
      <c r="L77" s="37"/>
      <c r="M77" s="37"/>
      <c r="N77" s="37"/>
      <c r="O77" s="37"/>
    </row>
    <row r="78" spans="1:24">
      <c r="A78" s="37"/>
      <c r="B78" s="37"/>
      <c r="C78" s="37"/>
      <c r="D78" s="63"/>
      <c r="E78" s="63"/>
      <c r="F78" s="63"/>
      <c r="G78" s="63"/>
      <c r="H78" s="63"/>
      <c r="I78" s="63"/>
      <c r="J78" s="63"/>
      <c r="K78" s="37"/>
      <c r="L78" s="37"/>
      <c r="M78" s="37"/>
      <c r="N78" s="37"/>
      <c r="O78" s="37"/>
    </row>
    <row r="79" spans="1:24">
      <c r="A79" s="37"/>
      <c r="B79" s="37"/>
      <c r="C79" s="37"/>
      <c r="D79" s="63"/>
      <c r="E79" s="63"/>
      <c r="F79" s="63"/>
      <c r="G79" s="63"/>
      <c r="H79" s="63"/>
      <c r="I79" s="63"/>
      <c r="J79" s="63"/>
      <c r="K79" s="37"/>
      <c r="L79" s="37"/>
      <c r="M79" s="37"/>
      <c r="N79" s="37"/>
      <c r="O79" s="37"/>
    </row>
    <row r="80" spans="1:24">
      <c r="A80" s="37"/>
      <c r="B80" s="37"/>
      <c r="C80" s="37"/>
      <c r="D80" s="63"/>
      <c r="E80" s="63"/>
      <c r="F80" s="63"/>
      <c r="G80" s="63"/>
      <c r="H80" s="63"/>
      <c r="I80" s="63"/>
      <c r="J80" s="63"/>
      <c r="K80" s="37"/>
      <c r="L80" s="37"/>
      <c r="M80" s="37"/>
      <c r="N80" s="37"/>
      <c r="O80" s="37"/>
    </row>
    <row r="81" spans="1:15">
      <c r="A81" s="37"/>
      <c r="B81" s="37"/>
      <c r="C81" s="37"/>
      <c r="D81" s="63"/>
      <c r="E81" s="63"/>
      <c r="F81" s="63"/>
      <c r="G81" s="63"/>
      <c r="H81" s="63"/>
      <c r="I81" s="63"/>
      <c r="J81" s="63"/>
      <c r="K81" s="37"/>
      <c r="L81" s="37"/>
      <c r="M81" s="37"/>
      <c r="N81" s="37"/>
      <c r="O81" s="37"/>
    </row>
    <row r="82" spans="1:15">
      <c r="A82" s="37"/>
      <c r="B82" s="37"/>
      <c r="C82" s="37"/>
      <c r="D82" s="63"/>
      <c r="E82" s="63"/>
      <c r="F82" s="63"/>
      <c r="G82" s="63"/>
      <c r="H82" s="63"/>
      <c r="I82" s="63"/>
      <c r="J82" s="63"/>
      <c r="K82" s="37"/>
      <c r="L82" s="37"/>
      <c r="M82" s="37"/>
      <c r="N82" s="37"/>
      <c r="O82" s="37"/>
    </row>
    <row r="83" spans="1:15">
      <c r="A83" s="37"/>
      <c r="B83" s="37"/>
      <c r="C83" s="37"/>
      <c r="D83" s="63"/>
      <c r="E83" s="63"/>
      <c r="F83" s="63"/>
      <c r="G83" s="63"/>
      <c r="H83" s="63"/>
      <c r="I83" s="63"/>
      <c r="J83" s="63"/>
      <c r="K83" s="37"/>
      <c r="L83" s="37"/>
      <c r="M83" s="37"/>
      <c r="N83" s="37"/>
      <c r="O83" s="37"/>
    </row>
    <row r="84" spans="1:15">
      <c r="A84" s="37"/>
      <c r="B84" s="37"/>
      <c r="C84" s="37"/>
      <c r="D84" s="63"/>
      <c r="E84" s="63"/>
      <c r="F84" s="63"/>
      <c r="G84" s="63"/>
      <c r="H84" s="63"/>
      <c r="I84" s="63"/>
      <c r="J84" s="63"/>
      <c r="K84" s="37"/>
      <c r="L84" s="37"/>
      <c r="M84" s="37"/>
      <c r="N84" s="37"/>
      <c r="O84" s="37"/>
    </row>
    <row r="85" spans="1:15">
      <c r="A85" s="37"/>
      <c r="B85" s="37"/>
      <c r="C85" s="37"/>
      <c r="D85" s="63"/>
      <c r="E85" s="63"/>
      <c r="F85" s="63"/>
      <c r="G85" s="63"/>
      <c r="H85" s="63"/>
      <c r="I85" s="63"/>
      <c r="J85" s="63"/>
      <c r="K85" s="37"/>
      <c r="L85" s="37"/>
      <c r="M85" s="37"/>
      <c r="N85" s="37"/>
      <c r="O85" s="37"/>
    </row>
    <row r="86" spans="1:15">
      <c r="A86" s="37"/>
      <c r="B86" s="37"/>
      <c r="C86" s="37"/>
      <c r="D86" s="63"/>
      <c r="E86" s="63"/>
      <c r="F86" s="63"/>
      <c r="G86" s="63"/>
      <c r="H86" s="63"/>
      <c r="I86" s="63"/>
      <c r="J86" s="63"/>
      <c r="K86" s="37"/>
      <c r="L86" s="37"/>
      <c r="M86" s="37"/>
      <c r="N86" s="37"/>
      <c r="O86" s="37"/>
    </row>
    <row r="87" spans="1:15">
      <c r="A87" s="37"/>
      <c r="B87" s="37"/>
      <c r="C87" s="37"/>
      <c r="D87" s="63"/>
      <c r="E87" s="63"/>
      <c r="F87" s="63"/>
      <c r="G87" s="63"/>
      <c r="H87" s="63"/>
      <c r="I87" s="63"/>
      <c r="J87" s="63"/>
      <c r="K87" s="37"/>
      <c r="L87" s="37"/>
      <c r="M87" s="37"/>
      <c r="N87" s="37"/>
      <c r="O87" s="37"/>
    </row>
    <row r="88" spans="1:15">
      <c r="A88" s="37"/>
      <c r="B88" s="37"/>
      <c r="C88" s="37"/>
      <c r="D88" s="63"/>
      <c r="E88" s="63"/>
      <c r="F88" s="63"/>
      <c r="G88" s="63"/>
      <c r="H88" s="63"/>
      <c r="I88" s="63"/>
      <c r="J88" s="63"/>
      <c r="K88" s="37"/>
      <c r="L88" s="37"/>
      <c r="M88" s="37"/>
      <c r="N88" s="37"/>
      <c r="O88" s="37"/>
    </row>
    <row r="89" spans="1:15">
      <c r="A89" s="37"/>
      <c r="B89" s="37"/>
      <c r="C89" s="37"/>
      <c r="D89" s="63"/>
      <c r="E89" s="63"/>
      <c r="F89" s="63"/>
      <c r="G89" s="63"/>
      <c r="H89" s="63"/>
      <c r="I89" s="63"/>
      <c r="J89" s="63"/>
      <c r="K89" s="37"/>
      <c r="L89" s="37"/>
      <c r="M89" s="37"/>
      <c r="N89" s="37"/>
      <c r="O89" s="37"/>
    </row>
    <row r="90" spans="1:15">
      <c r="A90" s="37"/>
      <c r="B90" s="37"/>
      <c r="C90" s="37"/>
      <c r="D90" s="63"/>
      <c r="E90" s="63"/>
      <c r="F90" s="63"/>
      <c r="G90" s="63"/>
      <c r="H90" s="63"/>
      <c r="I90" s="63"/>
      <c r="J90" s="63"/>
      <c r="K90" s="37"/>
      <c r="L90" s="37"/>
      <c r="M90" s="37"/>
      <c r="N90" s="37"/>
      <c r="O90" s="37"/>
    </row>
    <row r="91" spans="1:15">
      <c r="A91" s="37"/>
      <c r="B91" s="37"/>
      <c r="C91" s="37"/>
      <c r="D91" s="63"/>
      <c r="E91" s="63"/>
      <c r="F91" s="63"/>
      <c r="G91" s="63"/>
      <c r="H91" s="63"/>
      <c r="I91" s="63"/>
      <c r="J91" s="63"/>
      <c r="K91" s="37"/>
      <c r="L91" s="37"/>
      <c r="M91" s="37"/>
      <c r="N91" s="37"/>
      <c r="O91" s="37"/>
    </row>
    <row r="92" spans="1:15">
      <c r="A92" s="37"/>
      <c r="B92" s="37"/>
      <c r="C92" s="37"/>
      <c r="D92" s="63"/>
      <c r="E92" s="63"/>
      <c r="F92" s="63"/>
      <c r="G92" s="63"/>
      <c r="H92" s="63"/>
      <c r="I92" s="63"/>
      <c r="J92" s="63"/>
      <c r="K92" s="37"/>
      <c r="L92" s="37"/>
      <c r="M92" s="37"/>
      <c r="N92" s="37"/>
      <c r="O92" s="37"/>
    </row>
    <row r="93" spans="1:15">
      <c r="A93" s="37"/>
      <c r="B93" s="37"/>
      <c r="C93" s="37"/>
      <c r="D93" s="63"/>
      <c r="E93" s="63"/>
      <c r="F93" s="63"/>
      <c r="G93" s="63"/>
      <c r="H93" s="63"/>
      <c r="I93" s="63"/>
      <c r="J93" s="63"/>
      <c r="K93" s="37"/>
      <c r="L93" s="37"/>
      <c r="M93" s="37"/>
      <c r="N93" s="37"/>
      <c r="O93" s="37"/>
    </row>
    <row r="94" spans="1:15">
      <c r="A94" s="37"/>
      <c r="B94" s="37"/>
      <c r="C94" s="37"/>
      <c r="D94" s="63"/>
      <c r="E94" s="63"/>
      <c r="F94" s="63"/>
      <c r="G94" s="63"/>
      <c r="H94" s="63"/>
      <c r="I94" s="63"/>
      <c r="J94" s="63"/>
      <c r="K94" s="37"/>
      <c r="L94" s="37"/>
      <c r="M94" s="37"/>
      <c r="N94" s="37"/>
      <c r="O94" s="37"/>
    </row>
    <row r="95" spans="1:15">
      <c r="A95" s="37"/>
      <c r="B95" s="37"/>
      <c r="C95" s="37"/>
      <c r="D95" s="63"/>
      <c r="E95" s="63"/>
      <c r="F95" s="63"/>
      <c r="G95" s="63"/>
      <c r="H95" s="63"/>
      <c r="I95" s="63"/>
      <c r="J95" s="63"/>
      <c r="K95" s="37"/>
      <c r="L95" s="37"/>
      <c r="M95" s="37"/>
      <c r="N95" s="37"/>
      <c r="O95" s="37"/>
    </row>
    <row r="96" spans="1:15">
      <c r="A96" s="37"/>
      <c r="B96" s="37"/>
      <c r="C96" s="37"/>
      <c r="D96" s="63"/>
      <c r="E96" s="63"/>
      <c r="F96" s="63"/>
      <c r="G96" s="63"/>
      <c r="H96" s="63"/>
      <c r="I96" s="63"/>
      <c r="J96" s="63"/>
      <c r="K96" s="37"/>
      <c r="L96" s="37"/>
      <c r="M96" s="37"/>
      <c r="N96" s="37"/>
      <c r="O96" s="37"/>
    </row>
    <row r="97" spans="1:15">
      <c r="A97" s="37"/>
      <c r="B97" s="37"/>
      <c r="C97" s="37"/>
      <c r="D97" s="63"/>
      <c r="E97" s="63"/>
      <c r="F97" s="63"/>
      <c r="G97" s="63"/>
      <c r="H97" s="63"/>
      <c r="I97" s="63"/>
      <c r="J97" s="63"/>
      <c r="K97" s="37"/>
      <c r="L97" s="37"/>
      <c r="M97" s="37"/>
      <c r="N97" s="37"/>
      <c r="O97" s="37"/>
    </row>
    <row r="98" spans="1:15">
      <c r="A98" s="37"/>
      <c r="B98" s="37"/>
      <c r="C98" s="37"/>
      <c r="D98" s="63"/>
      <c r="E98" s="63"/>
      <c r="F98" s="63"/>
      <c r="G98" s="63"/>
      <c r="H98" s="63"/>
      <c r="I98" s="63"/>
      <c r="J98" s="63"/>
      <c r="K98" s="37"/>
      <c r="L98" s="37"/>
      <c r="M98" s="37"/>
      <c r="N98" s="37"/>
      <c r="O98" s="37"/>
    </row>
    <row r="99" spans="1:15">
      <c r="A99" s="37"/>
      <c r="B99" s="37"/>
      <c r="C99" s="37"/>
      <c r="D99" s="63"/>
      <c r="E99" s="63"/>
      <c r="F99" s="63"/>
      <c r="G99" s="63"/>
      <c r="H99" s="63"/>
      <c r="I99" s="63"/>
      <c r="J99" s="63"/>
      <c r="K99" s="37"/>
      <c r="L99" s="37"/>
      <c r="M99" s="37"/>
      <c r="N99" s="37"/>
      <c r="O99" s="37"/>
    </row>
    <row r="100" spans="1:15">
      <c r="A100" s="37"/>
      <c r="B100" s="37"/>
      <c r="C100" s="37"/>
      <c r="D100" s="63"/>
      <c r="E100" s="63"/>
      <c r="F100" s="63"/>
      <c r="G100" s="63"/>
      <c r="H100" s="63"/>
      <c r="I100" s="63"/>
      <c r="J100" s="63"/>
      <c r="K100" s="37"/>
      <c r="L100" s="37"/>
      <c r="M100" s="37"/>
      <c r="N100" s="37"/>
      <c r="O100" s="37"/>
    </row>
    <row r="101" spans="1:15">
      <c r="A101" s="37"/>
      <c r="B101" s="37"/>
      <c r="C101" s="37"/>
      <c r="D101" s="63"/>
      <c r="E101" s="63"/>
      <c r="F101" s="63"/>
      <c r="G101" s="63"/>
      <c r="H101" s="63"/>
      <c r="I101" s="63"/>
      <c r="J101" s="63"/>
      <c r="K101" s="37"/>
      <c r="L101" s="37"/>
      <c r="M101" s="37"/>
      <c r="N101" s="37"/>
      <c r="O101" s="37"/>
    </row>
    <row r="102" spans="1:15">
      <c r="A102" s="37"/>
      <c r="B102" s="37"/>
      <c r="C102" s="37"/>
      <c r="D102" s="63"/>
      <c r="E102" s="63"/>
      <c r="F102" s="63"/>
      <c r="G102" s="63"/>
      <c r="H102" s="63"/>
      <c r="I102" s="63"/>
      <c r="J102" s="63"/>
      <c r="K102" s="37"/>
      <c r="L102" s="37"/>
      <c r="M102" s="37"/>
      <c r="N102" s="37"/>
      <c r="O102" s="37"/>
    </row>
    <row r="103" spans="1:15">
      <c r="A103" s="37"/>
      <c r="B103" s="37"/>
      <c r="C103" s="37"/>
      <c r="D103" s="63"/>
      <c r="E103" s="63"/>
      <c r="F103" s="63"/>
      <c r="G103" s="63"/>
      <c r="H103" s="63"/>
      <c r="I103" s="63"/>
      <c r="J103" s="63"/>
      <c r="K103" s="37"/>
      <c r="L103" s="37"/>
      <c r="M103" s="37"/>
      <c r="N103" s="37"/>
      <c r="O103" s="37"/>
    </row>
    <row r="104" spans="1:15">
      <c r="A104" s="37"/>
      <c r="B104" s="37"/>
      <c r="C104" s="37"/>
      <c r="D104" s="63"/>
      <c r="E104" s="63"/>
      <c r="F104" s="63"/>
      <c r="G104" s="63"/>
      <c r="H104" s="63"/>
      <c r="I104" s="63"/>
      <c r="J104" s="63"/>
      <c r="K104" s="37"/>
      <c r="L104" s="37"/>
      <c r="M104" s="37"/>
      <c r="N104" s="37"/>
      <c r="O104" s="37"/>
    </row>
    <row r="105" spans="1:15">
      <c r="A105" s="37"/>
      <c r="B105" s="37"/>
      <c r="C105" s="37"/>
      <c r="D105" s="63"/>
      <c r="E105" s="63"/>
      <c r="F105" s="63"/>
      <c r="G105" s="63"/>
      <c r="H105" s="63"/>
      <c r="I105" s="63"/>
      <c r="J105" s="63"/>
      <c r="K105" s="37"/>
      <c r="L105" s="37"/>
      <c r="M105" s="37"/>
      <c r="N105" s="37"/>
      <c r="O105" s="37"/>
    </row>
    <row r="106" spans="1:15">
      <c r="A106" s="37"/>
      <c r="B106" s="37"/>
      <c r="C106" s="37"/>
      <c r="D106" s="63"/>
      <c r="E106" s="63"/>
      <c r="F106" s="63"/>
      <c r="G106" s="63"/>
      <c r="H106" s="63"/>
      <c r="I106" s="63"/>
      <c r="J106" s="63"/>
      <c r="K106" s="37"/>
      <c r="L106" s="37"/>
      <c r="M106" s="37"/>
      <c r="N106" s="37"/>
      <c r="O106" s="37"/>
    </row>
    <row r="107" spans="1:15">
      <c r="A107" s="37"/>
      <c r="B107" s="37"/>
      <c r="C107" s="37"/>
      <c r="D107" s="63"/>
      <c r="E107" s="63"/>
      <c r="F107" s="63"/>
      <c r="G107" s="63"/>
      <c r="H107" s="63"/>
      <c r="I107" s="63"/>
      <c r="J107" s="63"/>
      <c r="K107" s="37"/>
      <c r="L107" s="37"/>
      <c r="M107" s="37"/>
      <c r="N107" s="37"/>
      <c r="O107" s="37"/>
    </row>
    <row r="108" spans="1:15">
      <c r="A108" s="37"/>
      <c r="B108" s="37"/>
      <c r="C108" s="37"/>
      <c r="D108" s="63"/>
      <c r="E108" s="63"/>
      <c r="F108" s="63"/>
      <c r="G108" s="63"/>
      <c r="H108" s="63"/>
      <c r="I108" s="63"/>
      <c r="J108" s="63"/>
      <c r="K108" s="37"/>
      <c r="L108" s="37"/>
      <c r="M108" s="37"/>
      <c r="N108" s="37"/>
      <c r="O108" s="37"/>
    </row>
    <row r="109" spans="1:15">
      <c r="A109" s="37"/>
      <c r="B109" s="37"/>
      <c r="C109" s="37"/>
      <c r="D109" s="63"/>
      <c r="E109" s="63"/>
      <c r="F109" s="63"/>
      <c r="G109" s="63"/>
      <c r="H109" s="63"/>
      <c r="I109" s="63"/>
      <c r="J109" s="63"/>
      <c r="K109" s="37"/>
      <c r="L109" s="37"/>
      <c r="M109" s="37"/>
      <c r="N109" s="37"/>
      <c r="O109" s="37"/>
    </row>
    <row r="110" spans="1:15">
      <c r="A110" s="37"/>
      <c r="B110" s="37"/>
      <c r="C110" s="37"/>
      <c r="D110" s="63"/>
      <c r="E110" s="63"/>
      <c r="F110" s="63"/>
      <c r="G110" s="63"/>
      <c r="H110" s="63"/>
      <c r="I110" s="63"/>
      <c r="J110" s="63"/>
      <c r="K110" s="37"/>
      <c r="L110" s="37"/>
      <c r="M110" s="37"/>
      <c r="N110" s="37"/>
      <c r="O110" s="37"/>
    </row>
    <row r="111" spans="1:15">
      <c r="A111" s="37"/>
      <c r="B111" s="37"/>
      <c r="C111" s="37"/>
      <c r="D111" s="63"/>
      <c r="E111" s="63"/>
      <c r="F111" s="63"/>
      <c r="G111" s="63"/>
      <c r="H111" s="63"/>
      <c r="I111" s="63"/>
      <c r="J111" s="63"/>
      <c r="K111" s="37"/>
      <c r="L111" s="37"/>
      <c r="M111" s="37"/>
      <c r="N111" s="37"/>
      <c r="O111" s="37"/>
    </row>
    <row r="112" spans="1:15">
      <c r="A112" s="37"/>
      <c r="B112" s="37"/>
      <c r="C112" s="37"/>
      <c r="D112" s="63"/>
      <c r="E112" s="63"/>
      <c r="F112" s="63"/>
      <c r="G112" s="63"/>
      <c r="H112" s="63"/>
      <c r="I112" s="63"/>
      <c r="J112" s="63"/>
      <c r="K112" s="37"/>
      <c r="L112" s="37"/>
      <c r="M112" s="37"/>
      <c r="N112" s="37"/>
      <c r="O112" s="37"/>
    </row>
    <row r="113" spans="1:15">
      <c r="A113" s="37"/>
      <c r="B113" s="37"/>
      <c r="C113" s="37"/>
      <c r="D113" s="63"/>
      <c r="E113" s="63"/>
      <c r="F113" s="63"/>
      <c r="G113" s="63"/>
      <c r="H113" s="63"/>
      <c r="I113" s="63"/>
      <c r="J113" s="63"/>
      <c r="K113" s="37"/>
      <c r="L113" s="37"/>
      <c r="M113" s="37"/>
      <c r="N113" s="37"/>
      <c r="O113" s="37"/>
    </row>
    <row r="114" spans="1:15">
      <c r="A114" s="37"/>
      <c r="B114" s="37"/>
      <c r="C114" s="37"/>
      <c r="D114" s="63"/>
      <c r="E114" s="63"/>
      <c r="F114" s="63"/>
      <c r="G114" s="63"/>
      <c r="H114" s="63"/>
      <c r="I114" s="63"/>
      <c r="J114" s="63"/>
      <c r="K114" s="37"/>
      <c r="L114" s="37"/>
      <c r="M114" s="37"/>
      <c r="N114" s="37"/>
      <c r="O114" s="37"/>
    </row>
    <row r="115" spans="1:15">
      <c r="A115" s="37"/>
      <c r="B115" s="37"/>
      <c r="C115" s="37"/>
      <c r="D115" s="63"/>
      <c r="E115" s="63"/>
      <c r="F115" s="63"/>
      <c r="G115" s="63"/>
      <c r="H115" s="63"/>
      <c r="I115" s="63"/>
      <c r="J115" s="63"/>
      <c r="K115" s="37"/>
      <c r="L115" s="37"/>
      <c r="M115" s="37"/>
      <c r="N115" s="37"/>
      <c r="O115" s="37"/>
    </row>
    <row r="116" spans="1:15">
      <c r="A116" s="37"/>
      <c r="B116" s="37"/>
      <c r="C116" s="37"/>
      <c r="D116" s="63"/>
      <c r="E116" s="63"/>
      <c r="F116" s="63"/>
      <c r="G116" s="63"/>
      <c r="H116" s="63"/>
      <c r="I116" s="63"/>
      <c r="J116" s="63"/>
      <c r="K116" s="37"/>
      <c r="L116" s="37"/>
      <c r="M116" s="37"/>
      <c r="N116" s="37"/>
      <c r="O116" s="37"/>
    </row>
    <row r="117" spans="1:15">
      <c r="A117" s="37"/>
      <c r="B117" s="37"/>
      <c r="C117" s="37"/>
      <c r="D117" s="63"/>
      <c r="E117" s="63"/>
      <c r="F117" s="63"/>
      <c r="G117" s="63"/>
      <c r="H117" s="63"/>
      <c r="I117" s="63"/>
      <c r="J117" s="63"/>
      <c r="K117" s="37"/>
      <c r="L117" s="37"/>
      <c r="M117" s="37"/>
      <c r="N117" s="37"/>
      <c r="O117" s="37"/>
    </row>
    <row r="118" spans="1:15">
      <c r="A118" s="37"/>
      <c r="B118" s="37"/>
      <c r="C118" s="37"/>
      <c r="D118" s="63"/>
      <c r="E118" s="63"/>
      <c r="F118" s="63"/>
      <c r="G118" s="63"/>
      <c r="H118" s="63"/>
      <c r="I118" s="63"/>
      <c r="J118" s="63"/>
      <c r="K118" s="37"/>
      <c r="L118" s="37"/>
      <c r="M118" s="37"/>
      <c r="N118" s="37"/>
      <c r="O118" s="37"/>
    </row>
    <row r="119" spans="1:15">
      <c r="A119" s="37"/>
      <c r="B119" s="37"/>
      <c r="C119" s="37"/>
      <c r="D119" s="63"/>
      <c r="E119" s="63"/>
      <c r="F119" s="63"/>
      <c r="G119" s="63"/>
      <c r="H119" s="63"/>
      <c r="I119" s="63"/>
      <c r="J119" s="63"/>
      <c r="K119" s="37"/>
      <c r="L119" s="37"/>
      <c r="M119" s="37"/>
      <c r="N119" s="37"/>
      <c r="O119" s="37"/>
    </row>
    <row r="120" spans="1:15">
      <c r="A120" s="37"/>
      <c r="B120" s="37"/>
      <c r="C120" s="37"/>
      <c r="D120" s="63"/>
      <c r="E120" s="63"/>
      <c r="F120" s="63"/>
      <c r="G120" s="63"/>
      <c r="H120" s="63"/>
      <c r="I120" s="63"/>
      <c r="J120" s="63"/>
      <c r="K120" s="37"/>
      <c r="L120" s="37"/>
      <c r="M120" s="37"/>
      <c r="N120" s="37"/>
      <c r="O120" s="37"/>
    </row>
    <row r="121" spans="1:15">
      <c r="A121" s="37"/>
      <c r="B121" s="37"/>
      <c r="C121" s="37"/>
      <c r="D121" s="63"/>
      <c r="E121" s="63"/>
      <c r="F121" s="63"/>
      <c r="G121" s="63"/>
      <c r="H121" s="63"/>
      <c r="I121" s="63"/>
      <c r="J121" s="63"/>
      <c r="K121" s="37"/>
      <c r="L121" s="37"/>
      <c r="M121" s="37"/>
      <c r="N121" s="37"/>
      <c r="O121" s="37"/>
    </row>
    <row r="122" spans="1:15">
      <c r="A122" s="37"/>
      <c r="B122" s="37"/>
      <c r="C122" s="37"/>
      <c r="D122" s="63"/>
      <c r="E122" s="63"/>
      <c r="F122" s="63"/>
      <c r="G122" s="63"/>
      <c r="H122" s="63"/>
      <c r="I122" s="63"/>
      <c r="J122" s="63"/>
      <c r="K122" s="37"/>
      <c r="L122" s="37"/>
      <c r="M122" s="37"/>
      <c r="N122" s="37"/>
      <c r="O122" s="37"/>
    </row>
    <row r="123" spans="1:15">
      <c r="A123" s="37"/>
      <c r="B123" s="37"/>
      <c r="C123" s="37"/>
      <c r="D123" s="63"/>
      <c r="E123" s="63"/>
      <c r="F123" s="63"/>
      <c r="G123" s="63"/>
      <c r="H123" s="63"/>
      <c r="I123" s="63"/>
      <c r="J123" s="63"/>
      <c r="K123" s="37"/>
      <c r="L123" s="37"/>
      <c r="M123" s="37"/>
      <c r="N123" s="37"/>
      <c r="O123" s="37"/>
    </row>
    <row r="124" spans="1:15">
      <c r="A124" s="37"/>
      <c r="B124" s="37"/>
      <c r="C124" s="37"/>
      <c r="D124" s="63"/>
      <c r="E124" s="63"/>
      <c r="F124" s="63"/>
      <c r="G124" s="63"/>
      <c r="H124" s="63"/>
      <c r="I124" s="63"/>
      <c r="J124" s="63"/>
      <c r="K124" s="37"/>
      <c r="L124" s="37"/>
      <c r="M124" s="37"/>
      <c r="N124" s="37"/>
      <c r="O124" s="37"/>
    </row>
    <row r="125" spans="1:15">
      <c r="A125" s="37"/>
      <c r="B125" s="37"/>
      <c r="C125" s="37"/>
      <c r="D125" s="63"/>
      <c r="E125" s="63"/>
      <c r="F125" s="63"/>
      <c r="G125" s="63"/>
      <c r="H125" s="63"/>
      <c r="I125" s="63"/>
      <c r="J125" s="63"/>
      <c r="K125" s="37"/>
      <c r="L125" s="37"/>
      <c r="M125" s="37"/>
      <c r="N125" s="37"/>
      <c r="O125" s="37"/>
    </row>
    <row r="126" spans="1:15">
      <c r="A126" s="37"/>
      <c r="B126" s="37"/>
      <c r="C126" s="37"/>
      <c r="D126" s="63"/>
      <c r="E126" s="63"/>
      <c r="F126" s="63"/>
      <c r="G126" s="63"/>
      <c r="H126" s="63"/>
      <c r="I126" s="63"/>
      <c r="J126" s="63"/>
      <c r="K126" s="37"/>
      <c r="L126" s="37"/>
      <c r="M126" s="37"/>
      <c r="N126" s="37"/>
      <c r="O126" s="37"/>
    </row>
    <row r="127" spans="1:15">
      <c r="A127" s="37"/>
      <c r="B127" s="37"/>
      <c r="C127" s="37"/>
      <c r="D127" s="63"/>
      <c r="E127" s="63"/>
      <c r="F127" s="63"/>
      <c r="G127" s="63"/>
      <c r="H127" s="63"/>
      <c r="I127" s="63"/>
      <c r="J127" s="63"/>
      <c r="K127" s="37"/>
      <c r="L127" s="37"/>
      <c r="M127" s="37"/>
      <c r="N127" s="37"/>
      <c r="O127" s="37"/>
    </row>
    <row r="128" spans="1:15">
      <c r="A128" s="37"/>
      <c r="B128" s="37"/>
      <c r="C128" s="37"/>
      <c r="D128" s="63"/>
      <c r="E128" s="63"/>
      <c r="F128" s="63"/>
      <c r="G128" s="63"/>
      <c r="H128" s="63"/>
      <c r="I128" s="63"/>
      <c r="J128" s="63"/>
      <c r="K128" s="37"/>
      <c r="L128" s="37"/>
      <c r="M128" s="37"/>
      <c r="N128" s="37"/>
      <c r="O128" s="37"/>
    </row>
    <row r="129" spans="1:15">
      <c r="A129" s="37"/>
      <c r="B129" s="37"/>
      <c r="C129" s="37"/>
      <c r="D129" s="63"/>
      <c r="E129" s="63"/>
      <c r="F129" s="63"/>
      <c r="G129" s="63"/>
      <c r="H129" s="63"/>
      <c r="I129" s="63"/>
      <c r="J129" s="63"/>
      <c r="K129" s="37"/>
      <c r="L129" s="37"/>
      <c r="M129" s="37"/>
      <c r="N129" s="37"/>
      <c r="O129" s="37"/>
    </row>
    <row r="130" spans="1:15">
      <c r="A130" s="37"/>
      <c r="B130" s="37"/>
      <c r="C130" s="37"/>
      <c r="D130" s="63"/>
      <c r="E130" s="63"/>
      <c r="F130" s="63"/>
      <c r="G130" s="63"/>
      <c r="H130" s="63"/>
      <c r="I130" s="63"/>
      <c r="J130" s="63"/>
      <c r="K130" s="37"/>
      <c r="L130" s="37"/>
      <c r="M130" s="37"/>
      <c r="N130" s="37"/>
      <c r="O130" s="37"/>
    </row>
    <row r="131" spans="1:15">
      <c r="A131" s="37"/>
      <c r="B131" s="37"/>
      <c r="C131" s="37"/>
      <c r="D131" s="63"/>
      <c r="E131" s="63"/>
      <c r="F131" s="63"/>
      <c r="G131" s="63"/>
      <c r="H131" s="63"/>
      <c r="I131" s="63"/>
      <c r="J131" s="63"/>
      <c r="K131" s="37"/>
      <c r="L131" s="37"/>
      <c r="M131" s="37"/>
      <c r="N131" s="37"/>
      <c r="O131" s="37"/>
    </row>
    <row r="132" spans="1:15">
      <c r="A132" s="37"/>
      <c r="B132" s="37"/>
      <c r="C132" s="37"/>
      <c r="D132" s="63"/>
      <c r="E132" s="63"/>
      <c r="F132" s="63"/>
      <c r="G132" s="63"/>
      <c r="H132" s="63"/>
      <c r="I132" s="63"/>
      <c r="J132" s="63"/>
      <c r="K132" s="37"/>
      <c r="L132" s="37"/>
      <c r="M132" s="37"/>
      <c r="N132" s="37"/>
      <c r="O132" s="37"/>
    </row>
    <row r="133" spans="1:15">
      <c r="A133" s="37"/>
      <c r="B133" s="37"/>
      <c r="C133" s="37"/>
      <c r="D133" s="63"/>
      <c r="E133" s="63"/>
      <c r="F133" s="63"/>
      <c r="G133" s="63"/>
      <c r="H133" s="63"/>
      <c r="I133" s="63"/>
      <c r="J133" s="63"/>
      <c r="K133" s="37"/>
      <c r="L133" s="37"/>
      <c r="M133" s="37"/>
      <c r="N133" s="37"/>
      <c r="O133" s="37"/>
    </row>
    <row r="134" spans="1:15">
      <c r="A134" s="37"/>
      <c r="B134" s="37"/>
      <c r="C134" s="37"/>
      <c r="D134" s="63"/>
      <c r="E134" s="63"/>
      <c r="F134" s="63"/>
      <c r="G134" s="63"/>
      <c r="H134" s="63"/>
      <c r="I134" s="63"/>
      <c r="J134" s="63"/>
      <c r="K134" s="37"/>
      <c r="L134" s="37"/>
      <c r="M134" s="37"/>
      <c r="N134" s="37"/>
      <c r="O134" s="37"/>
    </row>
    <row r="135" spans="1:15">
      <c r="A135" s="37"/>
      <c r="B135" s="37"/>
      <c r="C135" s="37"/>
      <c r="D135" s="63"/>
      <c r="E135" s="63"/>
      <c r="F135" s="63"/>
      <c r="G135" s="63"/>
      <c r="H135" s="63"/>
      <c r="I135" s="63"/>
      <c r="J135" s="63"/>
      <c r="K135" s="37"/>
      <c r="L135" s="37"/>
      <c r="M135" s="37"/>
      <c r="N135" s="37"/>
      <c r="O135" s="37"/>
    </row>
    <row r="136" spans="1:15">
      <c r="A136" s="37"/>
      <c r="B136" s="37"/>
      <c r="C136" s="37"/>
      <c r="D136" s="63"/>
      <c r="E136" s="63"/>
      <c r="F136" s="63"/>
      <c r="G136" s="63"/>
      <c r="H136" s="63"/>
      <c r="I136" s="63"/>
      <c r="J136" s="63"/>
      <c r="K136" s="37"/>
      <c r="L136" s="37"/>
      <c r="M136" s="37"/>
      <c r="N136" s="37"/>
      <c r="O136" s="37"/>
    </row>
    <row r="137" spans="1:15">
      <c r="A137" s="37"/>
      <c r="B137" s="37"/>
      <c r="C137" s="37"/>
      <c r="D137" s="63"/>
      <c r="E137" s="63"/>
      <c r="F137" s="63"/>
      <c r="G137" s="63"/>
      <c r="H137" s="63"/>
      <c r="I137" s="63"/>
      <c r="J137" s="63"/>
      <c r="K137" s="37"/>
      <c r="L137" s="37"/>
      <c r="M137" s="37"/>
      <c r="N137" s="37"/>
      <c r="O137" s="37"/>
    </row>
    <row r="138" spans="1:15">
      <c r="A138" s="37"/>
      <c r="B138" s="37"/>
      <c r="C138" s="37"/>
      <c r="D138" s="63"/>
      <c r="E138" s="63"/>
      <c r="F138" s="63"/>
      <c r="G138" s="63"/>
      <c r="H138" s="63"/>
      <c r="I138" s="63"/>
      <c r="J138" s="63"/>
      <c r="K138" s="37"/>
      <c r="L138" s="37"/>
      <c r="M138" s="37"/>
      <c r="N138" s="37"/>
      <c r="O138" s="37"/>
    </row>
    <row r="139" spans="1:15">
      <c r="A139" s="37"/>
      <c r="B139" s="37"/>
      <c r="C139" s="37"/>
      <c r="D139" s="63"/>
      <c r="E139" s="63"/>
      <c r="F139" s="63"/>
      <c r="G139" s="63"/>
      <c r="H139" s="63"/>
      <c r="I139" s="63"/>
      <c r="J139" s="63"/>
      <c r="K139" s="37"/>
      <c r="L139" s="37"/>
      <c r="M139" s="37"/>
      <c r="N139" s="37"/>
      <c r="O139" s="37"/>
    </row>
    <row r="140" spans="1:15">
      <c r="A140" s="37"/>
      <c r="B140" s="37"/>
      <c r="C140" s="37"/>
      <c r="D140" s="63"/>
      <c r="E140" s="63"/>
      <c r="F140" s="63"/>
      <c r="G140" s="63"/>
      <c r="H140" s="63"/>
      <c r="I140" s="63"/>
      <c r="J140" s="63"/>
      <c r="K140" s="37"/>
      <c r="L140" s="37"/>
      <c r="M140" s="37"/>
      <c r="N140" s="37"/>
      <c r="O140" s="37"/>
    </row>
    <row r="141" spans="1:15">
      <c r="A141" s="37"/>
      <c r="B141" s="37"/>
      <c r="C141" s="37"/>
      <c r="D141" s="63"/>
      <c r="E141" s="63"/>
      <c r="F141" s="63"/>
      <c r="G141" s="63"/>
      <c r="H141" s="63"/>
      <c r="I141" s="63"/>
      <c r="J141" s="63"/>
      <c r="K141" s="37"/>
      <c r="L141" s="37"/>
      <c r="M141" s="37"/>
      <c r="N141" s="37"/>
      <c r="O141" s="37"/>
    </row>
    <row r="142" spans="1:15">
      <c r="A142" s="37"/>
      <c r="B142" s="37"/>
      <c r="C142" s="37"/>
      <c r="D142" s="63"/>
      <c r="E142" s="63"/>
      <c r="F142" s="63"/>
      <c r="G142" s="63"/>
      <c r="H142" s="63"/>
      <c r="I142" s="63"/>
      <c r="J142" s="63"/>
      <c r="K142" s="37"/>
      <c r="L142" s="37"/>
      <c r="M142" s="37"/>
      <c r="N142" s="37"/>
      <c r="O142" s="37"/>
    </row>
    <row r="143" spans="1:15">
      <c r="A143" s="37"/>
      <c r="B143" s="37"/>
      <c r="C143" s="37"/>
      <c r="D143" s="63"/>
      <c r="E143" s="63"/>
      <c r="F143" s="63"/>
      <c r="G143" s="63"/>
      <c r="H143" s="63"/>
      <c r="I143" s="63"/>
      <c r="J143" s="63"/>
      <c r="K143" s="37"/>
      <c r="L143" s="37"/>
      <c r="M143" s="37"/>
      <c r="N143" s="37"/>
      <c r="O143" s="37"/>
    </row>
    <row r="144" spans="1:15">
      <c r="A144" s="37"/>
      <c r="B144" s="37"/>
      <c r="C144" s="37"/>
      <c r="D144" s="63"/>
      <c r="E144" s="63"/>
      <c r="F144" s="63"/>
      <c r="G144" s="63"/>
      <c r="H144" s="63"/>
      <c r="I144" s="63"/>
      <c r="J144" s="63"/>
      <c r="K144" s="37"/>
      <c r="L144" s="37"/>
      <c r="M144" s="37"/>
      <c r="N144" s="37"/>
      <c r="O144" s="37"/>
    </row>
    <row r="145" spans="1:15">
      <c r="A145" s="37"/>
      <c r="B145" s="37"/>
      <c r="C145" s="37"/>
      <c r="D145" s="63"/>
      <c r="E145" s="63"/>
      <c r="F145" s="63"/>
      <c r="G145" s="63"/>
      <c r="H145" s="63"/>
      <c r="I145" s="63"/>
      <c r="J145" s="63"/>
      <c r="K145" s="37"/>
      <c r="L145" s="37"/>
      <c r="M145" s="37"/>
      <c r="N145" s="37"/>
      <c r="O145" s="37"/>
    </row>
    <row r="146" spans="1:15">
      <c r="A146" s="37"/>
      <c r="B146" s="37"/>
      <c r="C146" s="37"/>
      <c r="D146" s="63"/>
      <c r="E146" s="63"/>
      <c r="F146" s="63"/>
      <c r="G146" s="63"/>
      <c r="H146" s="63"/>
      <c r="I146" s="63"/>
      <c r="J146" s="63"/>
      <c r="K146" s="37"/>
      <c r="L146" s="37"/>
      <c r="M146" s="37"/>
      <c r="N146" s="37"/>
      <c r="O146" s="37"/>
    </row>
    <row r="147" spans="1:15">
      <c r="A147" s="37"/>
      <c r="B147" s="37"/>
      <c r="C147" s="37"/>
      <c r="D147" s="63"/>
      <c r="E147" s="63"/>
      <c r="F147" s="63"/>
      <c r="G147" s="63"/>
      <c r="H147" s="63"/>
      <c r="I147" s="63"/>
      <c r="J147" s="63"/>
      <c r="K147" s="37"/>
      <c r="L147" s="37"/>
      <c r="M147" s="37"/>
      <c r="N147" s="37"/>
      <c r="O147" s="37"/>
    </row>
    <row r="148" spans="1:15">
      <c r="A148" s="37"/>
      <c r="B148" s="37"/>
      <c r="C148" s="37"/>
      <c r="D148" s="63"/>
      <c r="E148" s="63"/>
      <c r="F148" s="63"/>
      <c r="G148" s="63"/>
      <c r="H148" s="63"/>
      <c r="I148" s="63"/>
      <c r="J148" s="63"/>
      <c r="K148" s="37"/>
      <c r="L148" s="37"/>
      <c r="M148" s="37"/>
      <c r="N148" s="37"/>
      <c r="O148" s="37"/>
    </row>
    <row r="149" spans="1:15">
      <c r="A149" s="37"/>
      <c r="B149" s="37"/>
      <c r="C149" s="37"/>
      <c r="D149" s="63"/>
      <c r="E149" s="63"/>
      <c r="F149" s="63"/>
      <c r="G149" s="63"/>
      <c r="H149" s="63"/>
      <c r="I149" s="63"/>
      <c r="J149" s="63"/>
      <c r="K149" s="37"/>
      <c r="L149" s="37"/>
      <c r="M149" s="37"/>
      <c r="N149" s="37"/>
      <c r="O149" s="37"/>
    </row>
    <row r="150" spans="1:15">
      <c r="A150" s="37"/>
      <c r="B150" s="37"/>
      <c r="C150" s="37"/>
      <c r="D150" s="63"/>
      <c r="E150" s="63"/>
      <c r="F150" s="63"/>
      <c r="G150" s="63"/>
      <c r="H150" s="63"/>
      <c r="I150" s="63"/>
      <c r="J150" s="63"/>
      <c r="K150" s="37"/>
      <c r="L150" s="37"/>
      <c r="M150" s="37"/>
      <c r="N150" s="37"/>
      <c r="O150" s="37"/>
    </row>
    <row r="151" spans="1:15">
      <c r="A151" s="37"/>
      <c r="B151" s="37"/>
      <c r="C151" s="37"/>
      <c r="D151" s="63"/>
      <c r="E151" s="63"/>
      <c r="F151" s="63"/>
      <c r="G151" s="63"/>
      <c r="H151" s="63"/>
      <c r="I151" s="63"/>
      <c r="J151" s="63"/>
      <c r="K151" s="37"/>
      <c r="L151" s="37"/>
      <c r="M151" s="37"/>
      <c r="N151" s="37"/>
      <c r="O151" s="37"/>
    </row>
    <row r="152" spans="1:15">
      <c r="A152" s="37"/>
      <c r="B152" s="37"/>
      <c r="C152" s="37"/>
      <c r="D152" s="63"/>
      <c r="E152" s="63"/>
      <c r="F152" s="63"/>
      <c r="G152" s="63"/>
      <c r="H152" s="63"/>
      <c r="I152" s="63"/>
      <c r="J152" s="63"/>
      <c r="K152" s="37"/>
      <c r="L152" s="37"/>
      <c r="M152" s="37"/>
      <c r="N152" s="37"/>
      <c r="O152" s="37"/>
    </row>
    <row r="153" spans="1:15">
      <c r="A153" s="37"/>
      <c r="B153" s="37"/>
      <c r="C153" s="37"/>
      <c r="D153" s="63"/>
      <c r="E153" s="63"/>
      <c r="F153" s="63"/>
      <c r="G153" s="63"/>
      <c r="H153" s="63"/>
      <c r="I153" s="63"/>
      <c r="J153" s="63"/>
      <c r="K153" s="37"/>
      <c r="L153" s="37"/>
      <c r="M153" s="37"/>
      <c r="N153" s="37"/>
      <c r="O153" s="37"/>
    </row>
    <row r="154" spans="1:15">
      <c r="A154" s="37"/>
      <c r="B154" s="37"/>
      <c r="C154" s="37"/>
      <c r="D154" s="63"/>
      <c r="E154" s="63"/>
      <c r="F154" s="63"/>
      <c r="G154" s="63"/>
      <c r="H154" s="63"/>
      <c r="I154" s="63"/>
      <c r="J154" s="63"/>
      <c r="K154" s="37"/>
      <c r="L154" s="37"/>
      <c r="M154" s="37"/>
      <c r="N154" s="37"/>
      <c r="O154" s="37"/>
    </row>
    <row r="155" spans="1:15">
      <c r="A155" s="37"/>
      <c r="B155" s="37"/>
      <c r="C155" s="37"/>
      <c r="D155" s="63"/>
      <c r="E155" s="63"/>
      <c r="F155" s="63"/>
      <c r="G155" s="63"/>
      <c r="H155" s="63"/>
      <c r="I155" s="63"/>
      <c r="J155" s="63"/>
      <c r="K155" s="37"/>
      <c r="L155" s="37"/>
      <c r="M155" s="37"/>
      <c r="N155" s="37"/>
      <c r="O155" s="37"/>
    </row>
    <row r="156" spans="1:15">
      <c r="A156" s="37"/>
      <c r="B156" s="37"/>
      <c r="C156" s="37"/>
      <c r="D156" s="63"/>
      <c r="E156" s="63"/>
      <c r="F156" s="63"/>
      <c r="G156" s="63"/>
      <c r="H156" s="63"/>
      <c r="I156" s="63"/>
      <c r="J156" s="63"/>
      <c r="K156" s="37"/>
      <c r="L156" s="37"/>
      <c r="M156" s="37"/>
      <c r="N156" s="37"/>
      <c r="O156" s="37"/>
    </row>
    <row r="157" spans="1:15">
      <c r="A157" s="37"/>
      <c r="B157" s="37"/>
      <c r="C157" s="37"/>
      <c r="D157" s="63"/>
      <c r="E157" s="63"/>
      <c r="F157" s="63"/>
      <c r="G157" s="63"/>
      <c r="H157" s="63"/>
      <c r="I157" s="63"/>
      <c r="J157" s="63"/>
      <c r="K157" s="37"/>
      <c r="L157" s="37"/>
      <c r="M157" s="37"/>
      <c r="N157" s="37"/>
      <c r="O157" s="37"/>
    </row>
    <row r="158" spans="1:15">
      <c r="A158" s="37"/>
      <c r="B158" s="37"/>
      <c r="C158" s="37"/>
      <c r="D158" s="63"/>
      <c r="E158" s="63"/>
      <c r="F158" s="63"/>
      <c r="G158" s="63"/>
      <c r="H158" s="63"/>
      <c r="I158" s="63"/>
      <c r="J158" s="63"/>
      <c r="K158" s="37"/>
      <c r="L158" s="37"/>
      <c r="M158" s="37"/>
      <c r="N158" s="37"/>
      <c r="O158" s="37"/>
    </row>
    <row r="159" spans="1:15">
      <c r="A159" s="37"/>
      <c r="B159" s="37"/>
      <c r="C159" s="37"/>
      <c r="D159" s="63"/>
      <c r="E159" s="63"/>
      <c r="F159" s="63"/>
      <c r="G159" s="63"/>
      <c r="H159" s="63"/>
      <c r="I159" s="63"/>
      <c r="J159" s="63"/>
      <c r="K159" s="37"/>
      <c r="L159" s="37"/>
      <c r="M159" s="37"/>
      <c r="N159" s="37"/>
      <c r="O159" s="37"/>
    </row>
    <row r="160" spans="1:15">
      <c r="A160" s="37"/>
      <c r="B160" s="37"/>
      <c r="C160" s="37"/>
      <c r="D160" s="63"/>
      <c r="E160" s="63"/>
      <c r="F160" s="63"/>
      <c r="G160" s="63"/>
      <c r="H160" s="63"/>
      <c r="I160" s="63"/>
      <c r="J160" s="63"/>
      <c r="K160" s="37"/>
      <c r="L160" s="37"/>
      <c r="M160" s="37"/>
      <c r="N160" s="37"/>
      <c r="O160" s="37"/>
    </row>
    <row r="161" spans="1:15">
      <c r="A161" s="37"/>
      <c r="B161" s="37"/>
      <c r="C161" s="37"/>
      <c r="D161" s="63"/>
      <c r="E161" s="63"/>
      <c r="F161" s="63"/>
      <c r="G161" s="63"/>
      <c r="H161" s="63"/>
      <c r="I161" s="63"/>
      <c r="J161" s="63"/>
      <c r="K161" s="37"/>
      <c r="L161" s="37"/>
      <c r="M161" s="37"/>
      <c r="N161" s="37"/>
      <c r="O161" s="37"/>
    </row>
    <row r="162" spans="1:15">
      <c r="A162" s="37"/>
      <c r="B162" s="37"/>
      <c r="C162" s="37"/>
      <c r="D162" s="63"/>
      <c r="E162" s="63"/>
      <c r="F162" s="63"/>
      <c r="G162" s="63"/>
      <c r="H162" s="63"/>
      <c r="I162" s="63"/>
      <c r="J162" s="63"/>
      <c r="K162" s="37"/>
      <c r="L162" s="37"/>
      <c r="M162" s="37"/>
      <c r="N162" s="37"/>
      <c r="O162" s="37"/>
    </row>
    <row r="163" spans="1:15">
      <c r="A163" s="37"/>
      <c r="B163" s="37"/>
      <c r="C163" s="37"/>
      <c r="D163" s="63"/>
      <c r="E163" s="63"/>
      <c r="F163" s="63"/>
      <c r="G163" s="63"/>
      <c r="H163" s="63"/>
      <c r="I163" s="63"/>
      <c r="J163" s="63"/>
      <c r="K163" s="37"/>
      <c r="L163" s="37"/>
      <c r="M163" s="37"/>
      <c r="N163" s="37"/>
      <c r="O163" s="37"/>
    </row>
    <row r="164" spans="1:15">
      <c r="A164" s="37"/>
      <c r="B164" s="37"/>
      <c r="C164" s="37"/>
      <c r="D164" s="63"/>
      <c r="E164" s="63"/>
      <c r="F164" s="63"/>
      <c r="G164" s="63"/>
      <c r="H164" s="63"/>
      <c r="I164" s="63"/>
      <c r="J164" s="63"/>
      <c r="K164" s="37"/>
      <c r="L164" s="37"/>
      <c r="M164" s="37"/>
      <c r="N164" s="37"/>
      <c r="O164" s="37"/>
    </row>
    <row r="165" spans="1:15">
      <c r="A165" s="37"/>
      <c r="B165" s="37"/>
      <c r="C165" s="37"/>
      <c r="D165" s="63"/>
      <c r="E165" s="63"/>
      <c r="F165" s="63"/>
      <c r="G165" s="63"/>
      <c r="H165" s="63"/>
      <c r="I165" s="63"/>
      <c r="J165" s="63"/>
      <c r="K165" s="37"/>
      <c r="L165" s="37"/>
      <c r="M165" s="37"/>
      <c r="N165" s="37"/>
      <c r="O165" s="37"/>
    </row>
    <row r="166" spans="1:15">
      <c r="A166" s="37"/>
      <c r="B166" s="37"/>
      <c r="C166" s="37"/>
      <c r="D166" s="63"/>
      <c r="E166" s="63"/>
      <c r="F166" s="63"/>
      <c r="G166" s="63"/>
      <c r="H166" s="63"/>
      <c r="I166" s="63"/>
      <c r="J166" s="63"/>
      <c r="K166" s="37"/>
      <c r="L166" s="37"/>
      <c r="M166" s="37"/>
      <c r="N166" s="37"/>
      <c r="O166" s="37"/>
    </row>
    <row r="167" spans="1:15">
      <c r="A167" s="37"/>
      <c r="B167" s="37"/>
      <c r="C167" s="37"/>
      <c r="D167" s="63"/>
      <c r="E167" s="63"/>
      <c r="F167" s="63"/>
      <c r="G167" s="63"/>
      <c r="H167" s="63"/>
      <c r="I167" s="63"/>
      <c r="J167" s="63"/>
      <c r="K167" s="37"/>
      <c r="L167" s="37"/>
      <c r="M167" s="37"/>
      <c r="N167" s="37"/>
      <c r="O167" s="37"/>
    </row>
    <row r="168" spans="1:15">
      <c r="A168" s="37"/>
      <c r="B168" s="37"/>
      <c r="C168" s="37"/>
      <c r="D168" s="63"/>
      <c r="E168" s="63"/>
      <c r="F168" s="63"/>
      <c r="G168" s="63"/>
      <c r="H168" s="63"/>
      <c r="I168" s="63"/>
      <c r="J168" s="63"/>
      <c r="K168" s="37"/>
      <c r="L168" s="37"/>
      <c r="M168" s="37"/>
      <c r="N168" s="37"/>
      <c r="O168" s="37"/>
    </row>
    <row r="169" spans="1:15">
      <c r="A169" s="37"/>
      <c r="B169" s="37"/>
      <c r="C169" s="37"/>
      <c r="D169" s="63"/>
      <c r="E169" s="63"/>
      <c r="F169" s="63"/>
      <c r="G169" s="63"/>
      <c r="H169" s="63"/>
      <c r="I169" s="63"/>
      <c r="J169" s="63"/>
      <c r="K169" s="37"/>
      <c r="L169" s="37"/>
      <c r="M169" s="37"/>
      <c r="N169" s="37"/>
      <c r="O169" s="37"/>
    </row>
    <row r="170" spans="1:15">
      <c r="A170" s="37"/>
      <c r="B170" s="37"/>
      <c r="C170" s="37"/>
      <c r="D170" s="63"/>
      <c r="E170" s="63"/>
      <c r="F170" s="63"/>
      <c r="G170" s="63"/>
      <c r="H170" s="63"/>
      <c r="I170" s="63"/>
      <c r="J170" s="63"/>
      <c r="K170" s="37"/>
      <c r="L170" s="37"/>
      <c r="M170" s="37"/>
      <c r="N170" s="37"/>
      <c r="O170" s="37"/>
    </row>
    <row r="171" spans="1:15">
      <c r="A171" s="37"/>
      <c r="B171" s="37"/>
      <c r="C171" s="37"/>
      <c r="D171" s="63"/>
      <c r="E171" s="63"/>
      <c r="F171" s="63"/>
      <c r="G171" s="63"/>
      <c r="H171" s="63"/>
      <c r="I171" s="63"/>
      <c r="J171" s="63"/>
      <c r="K171" s="37"/>
      <c r="L171" s="37"/>
      <c r="M171" s="37"/>
      <c r="N171" s="37"/>
      <c r="O171" s="37"/>
    </row>
    <row r="172" spans="1:15">
      <c r="A172" s="37"/>
      <c r="B172" s="37"/>
      <c r="C172" s="37"/>
      <c r="D172" s="63"/>
      <c r="E172" s="63"/>
      <c r="F172" s="63"/>
      <c r="G172" s="63"/>
      <c r="H172" s="63"/>
      <c r="I172" s="63"/>
      <c r="J172" s="63"/>
      <c r="K172" s="37"/>
      <c r="L172" s="37"/>
      <c r="M172" s="37"/>
      <c r="N172" s="37"/>
      <c r="O172" s="37"/>
    </row>
    <row r="173" spans="1:15">
      <c r="A173" s="37"/>
      <c r="B173" s="37"/>
      <c r="C173" s="37"/>
      <c r="D173" s="63"/>
      <c r="E173" s="63"/>
      <c r="F173" s="63"/>
      <c r="G173" s="63"/>
      <c r="H173" s="63"/>
      <c r="I173" s="63"/>
      <c r="J173" s="63"/>
      <c r="K173" s="37"/>
      <c r="L173" s="37"/>
      <c r="M173" s="37"/>
      <c r="N173" s="37"/>
      <c r="O173" s="37"/>
    </row>
    <row r="174" spans="1:15">
      <c r="A174" s="37"/>
      <c r="B174" s="37"/>
      <c r="C174" s="37"/>
      <c r="D174" s="63"/>
      <c r="E174" s="63"/>
      <c r="F174" s="63"/>
      <c r="G174" s="63"/>
      <c r="H174" s="63"/>
      <c r="I174" s="63"/>
      <c r="J174" s="63"/>
      <c r="K174" s="37"/>
      <c r="L174" s="37"/>
      <c r="M174" s="37"/>
      <c r="N174" s="37"/>
      <c r="O174" s="37"/>
    </row>
    <row r="175" spans="1:15">
      <c r="A175" s="37"/>
      <c r="B175" s="37"/>
      <c r="C175" s="37"/>
      <c r="D175" s="63"/>
      <c r="E175" s="63"/>
      <c r="F175" s="63"/>
      <c r="G175" s="63"/>
      <c r="H175" s="63"/>
      <c r="I175" s="63"/>
      <c r="J175" s="63"/>
      <c r="K175" s="37"/>
      <c r="L175" s="37"/>
      <c r="M175" s="37"/>
      <c r="N175" s="37"/>
      <c r="O175" s="37"/>
    </row>
    <row r="176" spans="1:15">
      <c r="A176" s="37"/>
      <c r="B176" s="37"/>
      <c r="C176" s="37"/>
      <c r="D176" s="63"/>
      <c r="E176" s="63"/>
      <c r="F176" s="63"/>
      <c r="G176" s="63"/>
      <c r="H176" s="63"/>
      <c r="I176" s="63"/>
      <c r="J176" s="63"/>
      <c r="K176" s="37"/>
      <c r="L176" s="37"/>
      <c r="M176" s="37"/>
      <c r="N176" s="37"/>
      <c r="O176" s="37"/>
    </row>
    <row r="177" spans="1:15">
      <c r="A177" s="37"/>
      <c r="B177" s="37"/>
      <c r="C177" s="37"/>
      <c r="D177" s="63"/>
      <c r="E177" s="63"/>
      <c r="F177" s="63"/>
      <c r="G177" s="63"/>
      <c r="H177" s="63"/>
      <c r="I177" s="63"/>
      <c r="J177" s="63"/>
      <c r="K177" s="37"/>
      <c r="L177" s="37"/>
      <c r="M177" s="37"/>
      <c r="N177" s="37"/>
      <c r="O177" s="37"/>
    </row>
    <row r="178" spans="1:15">
      <c r="A178" s="37"/>
      <c r="B178" s="37"/>
      <c r="C178" s="37"/>
      <c r="D178" s="63"/>
      <c r="E178" s="63"/>
      <c r="F178" s="63"/>
      <c r="G178" s="63"/>
      <c r="H178" s="63"/>
      <c r="I178" s="63"/>
      <c r="J178" s="63"/>
      <c r="K178" s="37"/>
      <c r="L178" s="37"/>
      <c r="M178" s="37"/>
      <c r="N178" s="37"/>
      <c r="O178" s="37"/>
    </row>
    <row r="179" spans="1:15">
      <c r="A179" s="37"/>
      <c r="B179" s="37"/>
      <c r="C179" s="37"/>
      <c r="D179" s="63"/>
      <c r="E179" s="63"/>
      <c r="F179" s="63"/>
      <c r="G179" s="63"/>
      <c r="H179" s="63"/>
      <c r="I179" s="63"/>
      <c r="J179" s="63"/>
      <c r="K179" s="37"/>
      <c r="L179" s="37"/>
      <c r="M179" s="37"/>
      <c r="N179" s="37"/>
      <c r="O179" s="37"/>
    </row>
    <row r="180" spans="1:15">
      <c r="A180" s="37"/>
      <c r="B180" s="37"/>
      <c r="C180" s="37"/>
      <c r="D180" s="63"/>
      <c r="E180" s="63"/>
      <c r="F180" s="63"/>
      <c r="G180" s="63"/>
      <c r="H180" s="63"/>
      <c r="I180" s="63"/>
      <c r="J180" s="63"/>
      <c r="K180" s="37"/>
      <c r="L180" s="37"/>
      <c r="M180" s="37"/>
      <c r="N180" s="37"/>
      <c r="O180" s="37"/>
    </row>
    <row r="181" spans="1:15">
      <c r="A181" s="37"/>
      <c r="B181" s="37"/>
      <c r="C181" s="37"/>
      <c r="D181" s="63"/>
      <c r="E181" s="63"/>
      <c r="F181" s="63"/>
      <c r="G181" s="63"/>
      <c r="H181" s="63"/>
      <c r="I181" s="63"/>
      <c r="J181" s="63"/>
      <c r="K181" s="37"/>
      <c r="L181" s="37"/>
      <c r="M181" s="37"/>
      <c r="N181" s="37"/>
      <c r="O181" s="37"/>
    </row>
    <row r="182" spans="1:15">
      <c r="A182" s="37"/>
      <c r="B182" s="37"/>
      <c r="C182" s="37"/>
      <c r="D182" s="63"/>
      <c r="E182" s="63"/>
      <c r="F182" s="63"/>
      <c r="G182" s="63"/>
      <c r="H182" s="63"/>
      <c r="I182" s="63"/>
      <c r="J182" s="63"/>
      <c r="K182" s="37"/>
      <c r="L182" s="37"/>
      <c r="M182" s="37"/>
      <c r="N182" s="37"/>
      <c r="O182" s="37"/>
    </row>
    <row r="183" spans="1:15">
      <c r="A183" s="37"/>
      <c r="B183" s="37"/>
      <c r="C183" s="37"/>
      <c r="D183" s="63"/>
      <c r="E183" s="63"/>
      <c r="F183" s="63"/>
      <c r="G183" s="63"/>
      <c r="H183" s="63"/>
      <c r="I183" s="63"/>
      <c r="J183" s="63"/>
      <c r="K183" s="37"/>
      <c r="L183" s="37"/>
      <c r="M183" s="37"/>
      <c r="N183" s="37"/>
      <c r="O183" s="37"/>
    </row>
    <row r="184" spans="1:15">
      <c r="A184" s="37"/>
      <c r="B184" s="37"/>
      <c r="C184" s="37"/>
      <c r="D184" s="63"/>
      <c r="E184" s="63"/>
      <c r="F184" s="63"/>
      <c r="G184" s="63"/>
      <c r="H184" s="63"/>
      <c r="I184" s="63"/>
      <c r="J184" s="63"/>
      <c r="K184" s="37"/>
      <c r="L184" s="37"/>
      <c r="M184" s="37"/>
      <c r="N184" s="37"/>
      <c r="O184" s="37"/>
    </row>
    <row r="185" spans="1:15">
      <c r="A185" s="37"/>
      <c r="B185" s="37"/>
      <c r="C185" s="37"/>
      <c r="D185" s="63"/>
      <c r="E185" s="63"/>
      <c r="F185" s="63"/>
      <c r="G185" s="63"/>
      <c r="H185" s="63"/>
      <c r="I185" s="63"/>
      <c r="J185" s="63"/>
      <c r="K185" s="37"/>
      <c r="L185" s="37"/>
      <c r="M185" s="37"/>
      <c r="N185" s="37"/>
      <c r="O185" s="37"/>
    </row>
    <row r="186" spans="1:15">
      <c r="A186" s="37"/>
      <c r="B186" s="37"/>
      <c r="C186" s="37"/>
      <c r="D186" s="63"/>
      <c r="E186" s="63"/>
      <c r="F186" s="63"/>
      <c r="G186" s="63"/>
      <c r="H186" s="63"/>
      <c r="I186" s="63"/>
      <c r="J186" s="63"/>
      <c r="K186" s="37"/>
      <c r="L186" s="37"/>
      <c r="M186" s="37"/>
      <c r="N186" s="37"/>
      <c r="O186" s="37"/>
    </row>
    <row r="187" spans="1:15">
      <c r="A187" s="37"/>
      <c r="B187" s="37"/>
      <c r="C187" s="37"/>
      <c r="D187" s="63"/>
      <c r="E187" s="63"/>
      <c r="F187" s="63"/>
      <c r="G187" s="63"/>
      <c r="H187" s="63"/>
      <c r="I187" s="63"/>
      <c r="J187" s="63"/>
      <c r="K187" s="37"/>
      <c r="L187" s="37"/>
      <c r="M187" s="37"/>
      <c r="N187" s="37"/>
      <c r="O187" s="37"/>
    </row>
    <row r="188" spans="1:15">
      <c r="A188" s="37"/>
      <c r="B188" s="37"/>
      <c r="C188" s="37"/>
      <c r="D188" s="63"/>
      <c r="E188" s="63"/>
      <c r="F188" s="63"/>
      <c r="G188" s="63"/>
      <c r="H188" s="63"/>
      <c r="I188" s="63"/>
      <c r="J188" s="63"/>
      <c r="K188" s="37"/>
      <c r="L188" s="37"/>
      <c r="M188" s="37"/>
      <c r="N188" s="37"/>
      <c r="O188" s="37"/>
    </row>
    <row r="189" spans="1:15">
      <c r="A189" s="37"/>
      <c r="B189" s="37"/>
      <c r="C189" s="37"/>
      <c r="D189" s="63"/>
      <c r="E189" s="63"/>
      <c r="F189" s="63"/>
      <c r="G189" s="63"/>
      <c r="H189" s="63"/>
      <c r="I189" s="63"/>
      <c r="J189" s="63"/>
      <c r="K189" s="37"/>
      <c r="L189" s="37"/>
      <c r="M189" s="37"/>
      <c r="N189" s="37"/>
      <c r="O189" s="37"/>
    </row>
    <row r="190" spans="1:15">
      <c r="A190" s="37"/>
      <c r="B190" s="37"/>
      <c r="C190" s="37"/>
      <c r="D190" s="63"/>
      <c r="E190" s="63"/>
      <c r="F190" s="63"/>
      <c r="G190" s="63"/>
      <c r="H190" s="63"/>
      <c r="I190" s="63"/>
      <c r="J190" s="63"/>
      <c r="K190" s="37"/>
      <c r="L190" s="37"/>
      <c r="M190" s="37"/>
      <c r="N190" s="37"/>
      <c r="O190" s="37"/>
    </row>
    <row r="191" spans="1:15">
      <c r="A191" s="37"/>
      <c r="B191" s="37"/>
      <c r="C191" s="37"/>
      <c r="D191" s="63"/>
      <c r="E191" s="63"/>
      <c r="F191" s="63"/>
      <c r="G191" s="63"/>
      <c r="H191" s="63"/>
      <c r="I191" s="63"/>
      <c r="J191" s="63"/>
      <c r="K191" s="37"/>
      <c r="L191" s="37"/>
      <c r="M191" s="37"/>
      <c r="N191" s="37"/>
      <c r="O191" s="37"/>
    </row>
    <row r="192" spans="1:15">
      <c r="A192" s="37"/>
      <c r="B192" s="37"/>
      <c r="C192" s="37"/>
      <c r="D192" s="63"/>
      <c r="E192" s="63"/>
      <c r="F192" s="63"/>
      <c r="G192" s="63"/>
      <c r="H192" s="63"/>
      <c r="I192" s="63"/>
      <c r="J192" s="63"/>
      <c r="K192" s="37"/>
      <c r="L192" s="37"/>
      <c r="M192" s="37"/>
      <c r="N192" s="37"/>
      <c r="O192" s="37"/>
    </row>
    <row r="193" spans="1:15">
      <c r="A193" s="37"/>
      <c r="B193" s="37"/>
      <c r="C193" s="37"/>
      <c r="D193" s="63"/>
      <c r="E193" s="63"/>
      <c r="F193" s="63"/>
      <c r="G193" s="63"/>
      <c r="H193" s="63"/>
      <c r="I193" s="63"/>
      <c r="J193" s="63"/>
      <c r="K193" s="37"/>
      <c r="L193" s="37"/>
      <c r="M193" s="37"/>
      <c r="N193" s="37"/>
      <c r="O193" s="37"/>
    </row>
    <row r="194" spans="1:15">
      <c r="A194" s="37"/>
      <c r="B194" s="37"/>
      <c r="C194" s="37"/>
      <c r="D194" s="63"/>
      <c r="E194" s="63"/>
      <c r="F194" s="63"/>
      <c r="G194" s="63"/>
      <c r="H194" s="63"/>
      <c r="I194" s="63"/>
      <c r="J194" s="63"/>
      <c r="K194" s="37"/>
      <c r="L194" s="37"/>
      <c r="M194" s="37"/>
      <c r="N194" s="37"/>
      <c r="O194" s="37"/>
    </row>
    <row r="195" spans="1:15">
      <c r="A195" s="37"/>
      <c r="B195" s="37"/>
      <c r="C195" s="37"/>
      <c r="D195" s="63"/>
      <c r="E195" s="63"/>
      <c r="F195" s="63"/>
      <c r="G195" s="63"/>
      <c r="H195" s="63"/>
      <c r="I195" s="63"/>
      <c r="J195" s="63"/>
      <c r="K195" s="37"/>
      <c r="L195" s="37"/>
      <c r="M195" s="37"/>
      <c r="N195" s="37"/>
      <c r="O195" s="37"/>
    </row>
    <row r="196" spans="1:15">
      <c r="A196" s="37"/>
      <c r="B196" s="37"/>
      <c r="C196" s="37"/>
      <c r="D196" s="63"/>
      <c r="E196" s="63"/>
      <c r="F196" s="63"/>
      <c r="G196" s="63"/>
      <c r="H196" s="63"/>
      <c r="I196" s="63"/>
      <c r="J196" s="63"/>
      <c r="K196" s="37"/>
      <c r="L196" s="37"/>
      <c r="M196" s="37"/>
      <c r="N196" s="37"/>
      <c r="O196" s="37"/>
    </row>
    <row r="197" spans="1:15">
      <c r="A197" s="37"/>
      <c r="B197" s="37"/>
      <c r="C197" s="37"/>
      <c r="D197" s="63"/>
      <c r="E197" s="63"/>
      <c r="F197" s="63"/>
      <c r="G197" s="63"/>
      <c r="H197" s="63"/>
      <c r="I197" s="63"/>
      <c r="J197" s="63"/>
      <c r="K197" s="37"/>
      <c r="L197" s="37"/>
      <c r="M197" s="37"/>
      <c r="N197" s="37"/>
      <c r="O197" s="37"/>
    </row>
    <row r="198" spans="1:15">
      <c r="A198" s="37"/>
      <c r="B198" s="37"/>
      <c r="C198" s="37"/>
      <c r="D198" s="63"/>
      <c r="E198" s="63"/>
      <c r="F198" s="63"/>
      <c r="G198" s="63"/>
      <c r="H198" s="63"/>
      <c r="I198" s="63"/>
      <c r="J198" s="63"/>
      <c r="K198" s="37"/>
      <c r="L198" s="37"/>
      <c r="M198" s="37"/>
      <c r="N198" s="37"/>
      <c r="O198" s="37"/>
    </row>
    <row r="199" spans="1:15">
      <c r="A199" s="37"/>
      <c r="B199" s="37"/>
      <c r="C199" s="37"/>
      <c r="D199" s="63"/>
      <c r="E199" s="63"/>
      <c r="F199" s="63"/>
      <c r="G199" s="63"/>
      <c r="H199" s="63"/>
      <c r="I199" s="63"/>
      <c r="J199" s="63"/>
      <c r="K199" s="37"/>
      <c r="L199" s="37"/>
      <c r="M199" s="37"/>
      <c r="N199" s="37"/>
      <c r="O199" s="37"/>
    </row>
    <row r="200" spans="1:15">
      <c r="A200" s="37"/>
      <c r="B200" s="37"/>
      <c r="C200" s="37"/>
      <c r="D200" s="63"/>
      <c r="E200" s="63"/>
      <c r="F200" s="63"/>
      <c r="G200" s="63"/>
      <c r="H200" s="63"/>
      <c r="I200" s="63"/>
      <c r="J200" s="63"/>
      <c r="K200" s="37"/>
      <c r="L200" s="37"/>
      <c r="M200" s="37"/>
      <c r="N200" s="37"/>
      <c r="O200" s="37"/>
    </row>
    <row r="201" spans="1:15">
      <c r="A201" s="37"/>
      <c r="B201" s="37"/>
      <c r="C201" s="37"/>
      <c r="D201" s="63"/>
      <c r="E201" s="63"/>
      <c r="F201" s="63"/>
      <c r="G201" s="63"/>
      <c r="H201" s="63"/>
      <c r="I201" s="63"/>
      <c r="J201" s="63"/>
      <c r="K201" s="37"/>
      <c r="L201" s="37"/>
      <c r="M201" s="37"/>
      <c r="N201" s="37"/>
      <c r="O201" s="37"/>
    </row>
    <row r="202" spans="1:15">
      <c r="A202" s="37"/>
      <c r="B202" s="37"/>
      <c r="C202" s="37"/>
      <c r="D202" s="63"/>
      <c r="E202" s="63"/>
      <c r="F202" s="63"/>
      <c r="G202" s="63"/>
      <c r="H202" s="63"/>
      <c r="I202" s="63"/>
      <c r="J202" s="63"/>
      <c r="K202" s="37"/>
      <c r="L202" s="37"/>
      <c r="M202" s="37"/>
      <c r="N202" s="37"/>
      <c r="O202" s="37"/>
    </row>
    <row r="203" spans="1:15">
      <c r="A203" s="37"/>
      <c r="B203" s="37"/>
      <c r="C203" s="37"/>
      <c r="D203" s="63"/>
      <c r="E203" s="63"/>
      <c r="F203" s="63"/>
      <c r="G203" s="63"/>
      <c r="H203" s="63"/>
      <c r="I203" s="63"/>
      <c r="J203" s="63"/>
      <c r="K203" s="37"/>
      <c r="L203" s="37"/>
      <c r="M203" s="37"/>
      <c r="N203" s="37"/>
      <c r="O203" s="37"/>
    </row>
    <row r="204" spans="1:15">
      <c r="A204" s="37"/>
      <c r="B204" s="37"/>
      <c r="C204" s="37"/>
      <c r="D204" s="63"/>
      <c r="E204" s="63"/>
      <c r="F204" s="63"/>
      <c r="G204" s="63"/>
      <c r="H204" s="63"/>
      <c r="I204" s="63"/>
      <c r="J204" s="63"/>
      <c r="K204" s="37"/>
      <c r="L204" s="37"/>
      <c r="M204" s="37"/>
      <c r="N204" s="37"/>
      <c r="O204" s="37"/>
    </row>
    <row r="205" spans="1:15">
      <c r="A205" s="37"/>
      <c r="B205" s="37"/>
      <c r="C205" s="37"/>
      <c r="D205" s="63"/>
      <c r="E205" s="63"/>
      <c r="F205" s="63"/>
      <c r="G205" s="63"/>
      <c r="H205" s="63"/>
      <c r="I205" s="63"/>
      <c r="J205" s="63"/>
      <c r="K205" s="37"/>
      <c r="L205" s="37"/>
      <c r="M205" s="37"/>
      <c r="N205" s="37"/>
      <c r="O205" s="37"/>
    </row>
    <row r="206" spans="1:15">
      <c r="A206" s="37"/>
      <c r="B206" s="37"/>
      <c r="C206" s="37"/>
      <c r="D206" s="63"/>
      <c r="E206" s="63"/>
      <c r="F206" s="63"/>
      <c r="G206" s="63"/>
      <c r="H206" s="63"/>
      <c r="I206" s="63"/>
      <c r="J206" s="63"/>
      <c r="K206" s="37"/>
      <c r="L206" s="37"/>
      <c r="M206" s="37"/>
      <c r="N206" s="37"/>
      <c r="O206" s="37"/>
    </row>
    <row r="207" spans="1:15">
      <c r="A207" s="37"/>
      <c r="B207" s="37"/>
      <c r="C207" s="37"/>
      <c r="D207" s="63"/>
      <c r="E207" s="63"/>
      <c r="F207" s="63"/>
      <c r="G207" s="63"/>
      <c r="H207" s="63"/>
      <c r="I207" s="63"/>
      <c r="J207" s="63"/>
      <c r="K207" s="37"/>
      <c r="L207" s="37"/>
      <c r="M207" s="37"/>
      <c r="N207" s="37"/>
      <c r="O207" s="37"/>
    </row>
    <row r="208" spans="1:15">
      <c r="A208" s="37"/>
      <c r="B208" s="37"/>
      <c r="C208" s="37"/>
      <c r="D208" s="63"/>
      <c r="E208" s="63"/>
      <c r="F208" s="63"/>
      <c r="G208" s="63"/>
      <c r="H208" s="63"/>
      <c r="I208" s="63"/>
      <c r="J208" s="63"/>
      <c r="K208" s="37"/>
      <c r="L208" s="37"/>
      <c r="M208" s="37"/>
      <c r="N208" s="37"/>
      <c r="O208" s="37"/>
    </row>
    <row r="209" spans="1:15">
      <c r="A209" s="37"/>
      <c r="B209" s="37"/>
      <c r="C209" s="37"/>
      <c r="D209" s="63"/>
      <c r="E209" s="63"/>
      <c r="F209" s="63"/>
      <c r="G209" s="63"/>
      <c r="H209" s="63"/>
      <c r="I209" s="63"/>
      <c r="J209" s="63"/>
      <c r="K209" s="37"/>
      <c r="L209" s="37"/>
      <c r="M209" s="37"/>
      <c r="N209" s="37"/>
      <c r="O209" s="37"/>
    </row>
    <row r="210" spans="1:15">
      <c r="A210" s="37"/>
      <c r="B210" s="37"/>
      <c r="C210" s="37"/>
      <c r="D210" s="63"/>
      <c r="E210" s="63"/>
      <c r="F210" s="63"/>
      <c r="G210" s="63"/>
      <c r="H210" s="63"/>
      <c r="I210" s="63"/>
      <c r="J210" s="63"/>
      <c r="K210" s="37"/>
      <c r="L210" s="37"/>
      <c r="M210" s="37"/>
      <c r="N210" s="37"/>
      <c r="O210" s="37"/>
    </row>
    <row r="211" spans="1:15">
      <c r="A211" s="37"/>
      <c r="B211" s="37"/>
      <c r="C211" s="37"/>
      <c r="D211" s="63"/>
      <c r="E211" s="63"/>
      <c r="F211" s="63"/>
      <c r="G211" s="63"/>
      <c r="H211" s="63"/>
      <c r="I211" s="63"/>
      <c r="J211" s="63"/>
      <c r="K211" s="37"/>
      <c r="L211" s="37"/>
      <c r="M211" s="37"/>
      <c r="N211" s="37"/>
      <c r="O211" s="37"/>
    </row>
    <row r="212" spans="1:15">
      <c r="A212" s="37"/>
      <c r="B212" s="37"/>
      <c r="C212" s="37"/>
      <c r="D212" s="63"/>
      <c r="E212" s="63"/>
      <c r="F212" s="63"/>
      <c r="G212" s="63"/>
      <c r="H212" s="63"/>
      <c r="I212" s="63"/>
      <c r="J212" s="63"/>
      <c r="K212" s="37"/>
      <c r="L212" s="37"/>
      <c r="M212" s="37"/>
      <c r="N212" s="37"/>
      <c r="O212" s="37"/>
    </row>
    <row r="213" spans="1:15">
      <c r="A213" s="37"/>
      <c r="B213" s="37"/>
      <c r="C213" s="37"/>
      <c r="D213" s="63"/>
      <c r="E213" s="63"/>
      <c r="F213" s="63"/>
      <c r="G213" s="63"/>
      <c r="H213" s="63"/>
      <c r="I213" s="63"/>
      <c r="J213" s="63"/>
      <c r="K213" s="37"/>
      <c r="L213" s="37"/>
      <c r="M213" s="37"/>
      <c r="N213" s="37"/>
      <c r="O213" s="37"/>
    </row>
    <row r="214" spans="1:15">
      <c r="A214" s="37"/>
      <c r="B214" s="37"/>
      <c r="C214" s="37"/>
      <c r="D214" s="63"/>
      <c r="E214" s="63"/>
      <c r="F214" s="63"/>
      <c r="G214" s="63"/>
      <c r="H214" s="63"/>
      <c r="I214" s="63"/>
      <c r="J214" s="63"/>
      <c r="K214" s="37"/>
      <c r="L214" s="37"/>
      <c r="M214" s="37"/>
      <c r="N214" s="37"/>
      <c r="O214" s="37"/>
    </row>
    <row r="215" spans="1:15">
      <c r="A215" s="37"/>
      <c r="B215" s="37"/>
      <c r="C215" s="37"/>
      <c r="D215" s="63"/>
      <c r="E215" s="63"/>
      <c r="F215" s="63"/>
      <c r="G215" s="63"/>
      <c r="H215" s="63"/>
      <c r="I215" s="63"/>
      <c r="J215" s="63"/>
      <c r="K215" s="37"/>
      <c r="L215" s="37"/>
      <c r="M215" s="37"/>
      <c r="N215" s="37"/>
      <c r="O215" s="37"/>
    </row>
    <row r="216" spans="1:15">
      <c r="A216" s="37"/>
      <c r="B216" s="37"/>
      <c r="C216" s="37"/>
      <c r="D216" s="63"/>
      <c r="E216" s="63"/>
      <c r="F216" s="63"/>
      <c r="G216" s="63"/>
      <c r="H216" s="63"/>
      <c r="I216" s="63"/>
      <c r="J216" s="63"/>
      <c r="K216" s="37"/>
      <c r="L216" s="37"/>
      <c r="M216" s="37"/>
      <c r="N216" s="37"/>
      <c r="O216" s="37"/>
    </row>
    <row r="217" spans="1:15">
      <c r="A217" s="37"/>
      <c r="B217" s="37"/>
      <c r="C217" s="37"/>
      <c r="D217" s="63"/>
      <c r="E217" s="63"/>
      <c r="F217" s="63"/>
      <c r="G217" s="63"/>
      <c r="H217" s="63"/>
      <c r="I217" s="63"/>
      <c r="J217" s="63"/>
      <c r="K217" s="37"/>
      <c r="L217" s="37"/>
      <c r="M217" s="37"/>
      <c r="N217" s="37"/>
      <c r="O217" s="37"/>
    </row>
    <row r="218" spans="1:15">
      <c r="A218" s="37"/>
      <c r="B218" s="37"/>
      <c r="C218" s="37"/>
      <c r="D218" s="63"/>
      <c r="E218" s="63"/>
      <c r="F218" s="63"/>
      <c r="G218" s="63"/>
      <c r="H218" s="63"/>
      <c r="I218" s="63"/>
      <c r="J218" s="63"/>
      <c r="K218" s="37"/>
      <c r="L218" s="37"/>
      <c r="M218" s="37"/>
      <c r="N218" s="37"/>
      <c r="O218" s="37"/>
    </row>
    <row r="219" spans="1:15">
      <c r="A219" s="37"/>
      <c r="B219" s="37"/>
      <c r="C219" s="37"/>
      <c r="D219" s="63"/>
      <c r="E219" s="63"/>
      <c r="F219" s="63"/>
      <c r="G219" s="63"/>
      <c r="H219" s="63"/>
      <c r="I219" s="63"/>
      <c r="J219" s="63"/>
      <c r="K219" s="37"/>
      <c r="L219" s="37"/>
      <c r="M219" s="37"/>
      <c r="N219" s="37"/>
      <c r="O219" s="37"/>
    </row>
    <row r="220" spans="1:15">
      <c r="A220" s="37"/>
      <c r="B220" s="37"/>
      <c r="C220" s="37"/>
      <c r="D220" s="63"/>
      <c r="E220" s="63"/>
      <c r="F220" s="63"/>
      <c r="G220" s="63"/>
      <c r="H220" s="63"/>
      <c r="I220" s="63"/>
      <c r="J220" s="63"/>
      <c r="K220" s="37"/>
      <c r="L220" s="37"/>
      <c r="M220" s="37"/>
      <c r="N220" s="37"/>
      <c r="O220" s="37"/>
    </row>
    <row r="221" spans="1:15">
      <c r="A221" s="37"/>
      <c r="B221" s="37"/>
      <c r="C221" s="37"/>
      <c r="D221" s="63"/>
      <c r="E221" s="63"/>
      <c r="F221" s="63"/>
      <c r="G221" s="63"/>
      <c r="H221" s="63"/>
      <c r="I221" s="63"/>
      <c r="J221" s="63"/>
      <c r="K221" s="37"/>
      <c r="L221" s="37"/>
      <c r="M221" s="37"/>
      <c r="N221" s="37"/>
      <c r="O221" s="37"/>
    </row>
    <row r="222" spans="1:15">
      <c r="A222" s="37"/>
      <c r="B222" s="37"/>
      <c r="C222" s="37"/>
      <c r="D222" s="63"/>
      <c r="E222" s="63"/>
      <c r="F222" s="63"/>
      <c r="G222" s="63"/>
      <c r="H222" s="63"/>
      <c r="I222" s="63"/>
      <c r="J222" s="63"/>
      <c r="K222" s="37"/>
      <c r="L222" s="37"/>
      <c r="M222" s="37"/>
      <c r="N222" s="37"/>
      <c r="O222" s="37"/>
    </row>
    <row r="223" spans="1:15">
      <c r="A223" s="37"/>
      <c r="B223" s="37"/>
      <c r="C223" s="37"/>
      <c r="D223" s="63"/>
      <c r="E223" s="63"/>
      <c r="F223" s="63"/>
      <c r="G223" s="63"/>
      <c r="H223" s="63"/>
      <c r="I223" s="63"/>
      <c r="J223" s="63"/>
      <c r="K223" s="37"/>
      <c r="L223" s="37"/>
      <c r="M223" s="37"/>
      <c r="N223" s="37"/>
      <c r="O223" s="37"/>
    </row>
    <row r="224" spans="1:15">
      <c r="A224" s="37"/>
      <c r="B224" s="37"/>
      <c r="C224" s="37"/>
      <c r="D224" s="63"/>
      <c r="E224" s="63"/>
      <c r="F224" s="63"/>
      <c r="G224" s="63"/>
      <c r="H224" s="63"/>
      <c r="I224" s="63"/>
      <c r="J224" s="63"/>
      <c r="K224" s="37"/>
      <c r="L224" s="37"/>
      <c r="M224" s="37"/>
      <c r="N224" s="37"/>
      <c r="O224" s="37"/>
    </row>
    <row r="225" spans="1:15">
      <c r="A225" s="37"/>
      <c r="B225" s="37"/>
      <c r="C225" s="37"/>
      <c r="D225" s="63"/>
      <c r="E225" s="63"/>
      <c r="F225" s="63"/>
      <c r="G225" s="63"/>
      <c r="H225" s="63"/>
      <c r="I225" s="63"/>
      <c r="J225" s="63"/>
      <c r="K225" s="37"/>
      <c r="L225" s="37"/>
      <c r="M225" s="37"/>
      <c r="N225" s="37"/>
      <c r="O225" s="37"/>
    </row>
    <row r="226" spans="1:15">
      <c r="A226" s="37"/>
      <c r="B226" s="37"/>
      <c r="C226" s="37"/>
      <c r="D226" s="63"/>
      <c r="E226" s="63"/>
      <c r="F226" s="63"/>
      <c r="G226" s="63"/>
      <c r="H226" s="63"/>
      <c r="I226" s="63"/>
      <c r="J226" s="63"/>
      <c r="K226" s="37"/>
      <c r="L226" s="37"/>
      <c r="M226" s="37"/>
      <c r="N226" s="37"/>
      <c r="O226" s="37"/>
    </row>
    <row r="227" spans="1:15">
      <c r="A227" s="37"/>
      <c r="B227" s="37"/>
      <c r="C227" s="37"/>
      <c r="D227" s="63"/>
      <c r="E227" s="63"/>
      <c r="F227" s="63"/>
      <c r="G227" s="63"/>
      <c r="H227" s="63"/>
      <c r="I227" s="63"/>
      <c r="J227" s="63"/>
      <c r="K227" s="37"/>
      <c r="L227" s="37"/>
      <c r="M227" s="37"/>
      <c r="N227" s="37"/>
      <c r="O227" s="37"/>
    </row>
    <row r="228" spans="1:15">
      <c r="A228" s="37"/>
      <c r="B228" s="37"/>
      <c r="C228" s="37"/>
      <c r="D228" s="63"/>
      <c r="E228" s="63"/>
      <c r="F228" s="63"/>
      <c r="G228" s="63"/>
      <c r="H228" s="63"/>
      <c r="I228" s="63"/>
      <c r="J228" s="63"/>
      <c r="K228" s="37"/>
      <c r="L228" s="37"/>
      <c r="M228" s="37"/>
      <c r="N228" s="37"/>
      <c r="O228" s="37"/>
    </row>
    <row r="229" spans="1:15">
      <c r="A229" s="37"/>
      <c r="B229" s="37"/>
      <c r="C229" s="37"/>
      <c r="D229" s="63"/>
      <c r="E229" s="63"/>
      <c r="F229" s="63"/>
      <c r="G229" s="63"/>
      <c r="H229" s="63"/>
      <c r="I229" s="63"/>
      <c r="J229" s="63"/>
      <c r="K229" s="37"/>
      <c r="L229" s="37"/>
      <c r="M229" s="37"/>
      <c r="N229" s="37"/>
      <c r="O229" s="37"/>
    </row>
    <row r="230" spans="1:15">
      <c r="A230" s="37"/>
      <c r="B230" s="37"/>
      <c r="C230" s="37"/>
      <c r="D230" s="63"/>
      <c r="E230" s="63"/>
      <c r="F230" s="63"/>
      <c r="G230" s="63"/>
      <c r="H230" s="63"/>
      <c r="I230" s="63"/>
      <c r="J230" s="63"/>
      <c r="K230" s="37"/>
      <c r="L230" s="37"/>
      <c r="M230" s="37"/>
      <c r="N230" s="37"/>
      <c r="O230" s="37"/>
    </row>
    <row r="231" spans="1:15">
      <c r="A231" s="37"/>
      <c r="B231" s="37"/>
      <c r="C231" s="37"/>
      <c r="D231" s="63"/>
      <c r="E231" s="63"/>
      <c r="F231" s="63"/>
      <c r="G231" s="63"/>
      <c r="H231" s="63"/>
      <c r="I231" s="63"/>
      <c r="J231" s="63"/>
      <c r="K231" s="37"/>
      <c r="L231" s="37"/>
      <c r="M231" s="37"/>
      <c r="N231" s="37"/>
      <c r="O231" s="37"/>
    </row>
    <row r="232" spans="1:15">
      <c r="A232" s="37"/>
      <c r="B232" s="37"/>
      <c r="C232" s="37"/>
      <c r="D232" s="63"/>
      <c r="E232" s="63"/>
      <c r="F232" s="63"/>
      <c r="G232" s="63"/>
      <c r="H232" s="63"/>
      <c r="I232" s="63"/>
      <c r="J232" s="63"/>
      <c r="K232" s="37"/>
      <c r="L232" s="37"/>
      <c r="M232" s="37"/>
      <c r="N232" s="37"/>
      <c r="O232" s="37"/>
    </row>
    <row r="233" spans="1:15">
      <c r="A233" s="37"/>
      <c r="B233" s="37"/>
      <c r="C233" s="37"/>
      <c r="D233" s="63"/>
      <c r="E233" s="63"/>
      <c r="F233" s="63"/>
      <c r="G233" s="63"/>
      <c r="H233" s="63"/>
      <c r="I233" s="63"/>
      <c r="J233" s="63"/>
      <c r="K233" s="37"/>
      <c r="L233" s="37"/>
      <c r="M233" s="37"/>
      <c r="N233" s="37"/>
      <c r="O233" s="37"/>
    </row>
    <row r="234" spans="1:15">
      <c r="A234" s="37"/>
      <c r="B234" s="37"/>
      <c r="C234" s="37"/>
      <c r="D234" s="63"/>
      <c r="E234" s="63"/>
      <c r="F234" s="63"/>
      <c r="G234" s="63"/>
      <c r="H234" s="63"/>
      <c r="I234" s="63"/>
      <c r="J234" s="63"/>
      <c r="K234" s="37"/>
      <c r="L234" s="37"/>
      <c r="M234" s="37"/>
      <c r="N234" s="37"/>
      <c r="O234" s="37"/>
    </row>
    <row r="235" spans="1:15">
      <c r="A235" s="37"/>
      <c r="B235" s="37"/>
      <c r="C235" s="37"/>
      <c r="D235" s="63"/>
      <c r="E235" s="63"/>
      <c r="F235" s="63"/>
      <c r="G235" s="63"/>
      <c r="H235" s="63"/>
      <c r="I235" s="63"/>
      <c r="J235" s="63"/>
      <c r="K235" s="37"/>
      <c r="L235" s="37"/>
      <c r="M235" s="37"/>
      <c r="N235" s="37"/>
      <c r="O235" s="37"/>
    </row>
    <row r="236" spans="1:15">
      <c r="A236" s="37"/>
      <c r="B236" s="37"/>
      <c r="C236" s="37"/>
      <c r="D236" s="63"/>
      <c r="E236" s="63"/>
      <c r="F236" s="63"/>
      <c r="G236" s="63"/>
      <c r="H236" s="63"/>
      <c r="I236" s="63"/>
      <c r="J236" s="63"/>
      <c r="K236" s="37"/>
      <c r="L236" s="37"/>
      <c r="M236" s="37"/>
      <c r="N236" s="37"/>
      <c r="O236" s="37"/>
    </row>
    <row r="237" spans="1:15">
      <c r="A237" s="37"/>
      <c r="B237" s="37"/>
      <c r="C237" s="37"/>
      <c r="D237" s="63"/>
      <c r="E237" s="63"/>
      <c r="F237" s="63"/>
      <c r="G237" s="63"/>
      <c r="H237" s="63"/>
      <c r="I237" s="63"/>
      <c r="J237" s="63"/>
      <c r="K237" s="37"/>
      <c r="L237" s="37"/>
      <c r="M237" s="37"/>
      <c r="N237" s="37"/>
      <c r="O237" s="37"/>
    </row>
    <row r="238" spans="1:15">
      <c r="A238" s="37"/>
      <c r="B238" s="37"/>
      <c r="C238" s="37"/>
      <c r="D238" s="63"/>
      <c r="E238" s="63"/>
      <c r="F238" s="63"/>
      <c r="G238" s="63"/>
      <c r="H238" s="63"/>
      <c r="I238" s="63"/>
      <c r="J238" s="63"/>
      <c r="K238" s="37"/>
      <c r="L238" s="37"/>
      <c r="M238" s="37"/>
      <c r="N238" s="37"/>
      <c r="O238" s="37"/>
    </row>
    <row r="239" spans="1:15">
      <c r="A239" s="37"/>
      <c r="B239" s="37"/>
      <c r="C239" s="37"/>
      <c r="D239" s="63"/>
      <c r="E239" s="63"/>
      <c r="F239" s="63"/>
      <c r="G239" s="63"/>
      <c r="H239" s="63"/>
      <c r="I239" s="63"/>
      <c r="J239" s="63"/>
      <c r="K239" s="37"/>
      <c r="L239" s="37"/>
      <c r="M239" s="37"/>
      <c r="N239" s="37"/>
      <c r="O239" s="37"/>
    </row>
    <row r="240" spans="1:15">
      <c r="A240" s="37"/>
      <c r="B240" s="37"/>
      <c r="C240" s="37"/>
      <c r="D240" s="63"/>
      <c r="E240" s="63"/>
      <c r="F240" s="63"/>
      <c r="G240" s="63"/>
      <c r="H240" s="63"/>
      <c r="I240" s="63"/>
      <c r="J240" s="63"/>
      <c r="K240" s="37"/>
      <c r="L240" s="37"/>
      <c r="M240" s="37"/>
      <c r="N240" s="37"/>
      <c r="O240" s="37"/>
    </row>
    <row r="241" spans="1:15">
      <c r="A241" s="37"/>
      <c r="B241" s="37"/>
      <c r="C241" s="37"/>
      <c r="D241" s="63"/>
      <c r="E241" s="63"/>
      <c r="F241" s="63"/>
      <c r="G241" s="63"/>
      <c r="H241" s="63"/>
      <c r="I241" s="63"/>
      <c r="J241" s="63"/>
      <c r="K241" s="37"/>
      <c r="L241" s="37"/>
      <c r="M241" s="37"/>
      <c r="N241" s="37"/>
      <c r="O241" s="37"/>
    </row>
    <row r="242" spans="1:15">
      <c r="A242" s="37"/>
      <c r="B242" s="37"/>
      <c r="C242" s="37"/>
      <c r="D242" s="63"/>
      <c r="E242" s="63"/>
      <c r="F242" s="63"/>
      <c r="G242" s="63"/>
      <c r="H242" s="63"/>
      <c r="I242" s="63"/>
      <c r="J242" s="63"/>
      <c r="K242" s="37"/>
      <c r="L242" s="37"/>
      <c r="M242" s="37"/>
      <c r="N242" s="37"/>
      <c r="O242" s="37"/>
    </row>
    <row r="243" spans="1:15">
      <c r="A243" s="37"/>
      <c r="B243" s="37"/>
      <c r="C243" s="37"/>
      <c r="D243" s="63"/>
      <c r="E243" s="63"/>
      <c r="F243" s="63"/>
      <c r="G243" s="63"/>
      <c r="H243" s="63"/>
      <c r="I243" s="63"/>
      <c r="J243" s="63"/>
      <c r="K243" s="37"/>
      <c r="L243" s="37"/>
      <c r="M243" s="37"/>
      <c r="N243" s="37"/>
      <c r="O243" s="37"/>
    </row>
    <row r="244" spans="1:15">
      <c r="A244" s="37"/>
      <c r="B244" s="37"/>
      <c r="C244" s="37"/>
      <c r="D244" s="63"/>
      <c r="E244" s="63"/>
      <c r="F244" s="63"/>
      <c r="G244" s="63"/>
      <c r="H244" s="63"/>
      <c r="I244" s="63"/>
      <c r="J244" s="63"/>
      <c r="K244" s="37"/>
      <c r="L244" s="37"/>
      <c r="M244" s="37"/>
      <c r="N244" s="37"/>
      <c r="O244" s="37"/>
    </row>
    <row r="245" spans="1:15">
      <c r="A245" s="37"/>
      <c r="B245" s="37"/>
      <c r="C245" s="37"/>
      <c r="D245" s="63"/>
      <c r="E245" s="63"/>
      <c r="F245" s="63"/>
      <c r="G245" s="63"/>
      <c r="H245" s="63"/>
      <c r="I245" s="63"/>
      <c r="J245" s="63"/>
      <c r="K245" s="37"/>
      <c r="L245" s="37"/>
      <c r="M245" s="37"/>
      <c r="N245" s="37"/>
      <c r="O245" s="37"/>
    </row>
    <row r="246" spans="1:15">
      <c r="A246" s="37"/>
      <c r="B246" s="37"/>
      <c r="C246" s="37"/>
      <c r="D246" s="63"/>
      <c r="E246" s="63"/>
      <c r="F246" s="63"/>
      <c r="G246" s="63"/>
      <c r="H246" s="63"/>
      <c r="I246" s="63"/>
      <c r="J246" s="63"/>
      <c r="K246" s="37"/>
      <c r="L246" s="37"/>
      <c r="M246" s="37"/>
      <c r="N246" s="37"/>
      <c r="O246" s="37"/>
    </row>
    <row r="247" spans="1:15">
      <c r="A247" s="37"/>
      <c r="B247" s="37"/>
      <c r="C247" s="37"/>
      <c r="D247" s="63"/>
      <c r="E247" s="63"/>
      <c r="F247" s="63"/>
      <c r="G247" s="63"/>
      <c r="H247" s="63"/>
      <c r="I247" s="63"/>
      <c r="J247" s="63"/>
      <c r="K247" s="37"/>
      <c r="L247" s="37"/>
      <c r="M247" s="37"/>
      <c r="N247" s="37"/>
      <c r="O247" s="37"/>
    </row>
    <row r="248" spans="1:15">
      <c r="A248" s="37"/>
      <c r="B248" s="37"/>
      <c r="C248" s="37"/>
      <c r="D248" s="63"/>
      <c r="E248" s="63"/>
      <c r="F248" s="63"/>
      <c r="G248" s="63"/>
      <c r="H248" s="63"/>
      <c r="I248" s="63"/>
      <c r="J248" s="63"/>
      <c r="K248" s="37"/>
      <c r="L248" s="37"/>
      <c r="M248" s="37"/>
      <c r="N248" s="37"/>
      <c r="O248" s="37"/>
    </row>
    <row r="249" spans="1:15">
      <c r="A249" s="37"/>
      <c r="B249" s="37"/>
      <c r="C249" s="37"/>
      <c r="D249" s="63"/>
      <c r="E249" s="63"/>
      <c r="F249" s="63"/>
      <c r="G249" s="63"/>
      <c r="H249" s="63"/>
      <c r="I249" s="63"/>
      <c r="J249" s="63"/>
      <c r="K249" s="37"/>
      <c r="L249" s="37"/>
      <c r="M249" s="37"/>
      <c r="N249" s="37"/>
      <c r="O249" s="37"/>
    </row>
    <row r="250" spans="1:15">
      <c r="A250" s="37"/>
      <c r="B250" s="37"/>
      <c r="C250" s="37"/>
      <c r="D250" s="63"/>
      <c r="E250" s="63"/>
      <c r="F250" s="63"/>
      <c r="G250" s="63"/>
      <c r="H250" s="63"/>
      <c r="I250" s="63"/>
      <c r="J250" s="63"/>
      <c r="K250" s="37"/>
      <c r="L250" s="37"/>
      <c r="M250" s="37"/>
      <c r="N250" s="37"/>
      <c r="O250" s="37"/>
    </row>
    <row r="251" spans="1:15">
      <c r="A251" s="37"/>
      <c r="B251" s="37"/>
      <c r="C251" s="37"/>
      <c r="D251" s="63"/>
      <c r="E251" s="63"/>
      <c r="F251" s="63"/>
      <c r="G251" s="63"/>
      <c r="H251" s="63"/>
      <c r="I251" s="63"/>
      <c r="J251" s="63"/>
      <c r="K251" s="37"/>
      <c r="L251" s="37"/>
      <c r="M251" s="37"/>
      <c r="N251" s="37"/>
      <c r="O251" s="37"/>
    </row>
    <row r="252" spans="1:15">
      <c r="A252" s="37"/>
      <c r="B252" s="37"/>
      <c r="C252" s="37"/>
      <c r="D252" s="63"/>
      <c r="E252" s="63"/>
      <c r="F252" s="63"/>
      <c r="G252" s="63"/>
      <c r="H252" s="63"/>
      <c r="I252" s="63"/>
      <c r="J252" s="63"/>
      <c r="K252" s="37"/>
      <c r="L252" s="37"/>
      <c r="M252" s="37"/>
      <c r="N252" s="37"/>
      <c r="O252" s="37"/>
    </row>
    <row r="253" spans="1:15">
      <c r="A253" s="37"/>
      <c r="B253" s="37"/>
      <c r="C253" s="37"/>
      <c r="D253" s="63"/>
      <c r="E253" s="63"/>
      <c r="F253" s="63"/>
      <c r="G253" s="63"/>
      <c r="H253" s="63"/>
      <c r="I253" s="63"/>
      <c r="J253" s="63"/>
      <c r="K253" s="37"/>
      <c r="L253" s="37"/>
      <c r="M253" s="37"/>
      <c r="N253" s="37"/>
      <c r="O253" s="37"/>
    </row>
    <row r="254" spans="1:15">
      <c r="A254" s="37"/>
      <c r="B254" s="37"/>
      <c r="C254" s="37"/>
      <c r="D254" s="63"/>
      <c r="E254" s="63"/>
      <c r="F254" s="63"/>
      <c r="G254" s="63"/>
      <c r="H254" s="63"/>
      <c r="I254" s="63"/>
      <c r="J254" s="63"/>
      <c r="K254" s="37"/>
      <c r="L254" s="37"/>
      <c r="M254" s="37"/>
      <c r="N254" s="37"/>
      <c r="O254" s="37"/>
    </row>
    <row r="255" spans="1:15">
      <c r="A255" s="37"/>
      <c r="B255" s="37"/>
      <c r="C255" s="37"/>
      <c r="D255" s="63"/>
      <c r="E255" s="63"/>
      <c r="F255" s="63"/>
      <c r="G255" s="63"/>
      <c r="H255" s="63"/>
      <c r="I255" s="63"/>
      <c r="J255" s="63"/>
      <c r="K255" s="37"/>
      <c r="L255" s="37"/>
      <c r="M255" s="37"/>
      <c r="N255" s="37"/>
      <c r="O255" s="37"/>
    </row>
    <row r="256" spans="1:15">
      <c r="A256" s="37"/>
      <c r="B256" s="37"/>
      <c r="C256" s="37"/>
      <c r="D256" s="63"/>
      <c r="E256" s="63"/>
      <c r="F256" s="63"/>
      <c r="G256" s="63"/>
      <c r="H256" s="63"/>
      <c r="I256" s="63"/>
      <c r="J256" s="63"/>
      <c r="K256" s="37"/>
      <c r="L256" s="37"/>
      <c r="M256" s="37"/>
      <c r="N256" s="37"/>
      <c r="O256" s="37"/>
    </row>
    <row r="257" spans="1:15">
      <c r="A257" s="37"/>
      <c r="B257" s="37"/>
      <c r="C257" s="37"/>
      <c r="D257" s="63"/>
      <c r="E257" s="63"/>
      <c r="F257" s="63"/>
      <c r="G257" s="63"/>
      <c r="H257" s="63"/>
      <c r="I257" s="63"/>
      <c r="J257" s="63"/>
      <c r="K257" s="37"/>
      <c r="L257" s="37"/>
      <c r="M257" s="37"/>
      <c r="N257" s="37"/>
      <c r="O257" s="37"/>
    </row>
    <row r="258" spans="1:15">
      <c r="A258" s="37"/>
      <c r="B258" s="37"/>
      <c r="C258" s="37"/>
      <c r="D258" s="63"/>
      <c r="E258" s="63"/>
      <c r="F258" s="63"/>
      <c r="G258" s="63"/>
      <c r="H258" s="63"/>
      <c r="I258" s="63"/>
      <c r="J258" s="63"/>
      <c r="K258" s="37"/>
      <c r="L258" s="37"/>
      <c r="M258" s="37"/>
      <c r="N258" s="37"/>
      <c r="O258" s="37"/>
    </row>
    <row r="259" spans="1:15">
      <c r="A259" s="37"/>
      <c r="B259" s="37"/>
      <c r="C259" s="37"/>
      <c r="D259" s="63"/>
      <c r="E259" s="63"/>
      <c r="F259" s="63"/>
      <c r="G259" s="63"/>
      <c r="H259" s="63"/>
      <c r="I259" s="63"/>
      <c r="J259" s="63"/>
      <c r="K259" s="37"/>
      <c r="L259" s="37"/>
      <c r="M259" s="37"/>
      <c r="N259" s="37"/>
      <c r="O259" s="37"/>
    </row>
    <row r="260" spans="1:15">
      <c r="A260" s="37"/>
      <c r="B260" s="37"/>
      <c r="C260" s="37"/>
      <c r="D260" s="63"/>
      <c r="E260" s="63"/>
      <c r="F260" s="63"/>
      <c r="G260" s="63"/>
      <c r="H260" s="63"/>
      <c r="I260" s="63"/>
      <c r="J260" s="63"/>
      <c r="K260" s="37"/>
      <c r="L260" s="37"/>
      <c r="M260" s="37"/>
      <c r="N260" s="37"/>
      <c r="O260" s="37"/>
    </row>
    <row r="261" spans="1:15">
      <c r="A261" s="37"/>
      <c r="B261" s="37"/>
      <c r="C261" s="37"/>
      <c r="D261" s="63"/>
      <c r="E261" s="63"/>
      <c r="F261" s="63"/>
      <c r="G261" s="63"/>
      <c r="H261" s="63"/>
      <c r="I261" s="63"/>
      <c r="J261" s="63"/>
      <c r="K261" s="37"/>
      <c r="L261" s="37"/>
      <c r="M261" s="37"/>
      <c r="N261" s="37"/>
      <c r="O261" s="37"/>
    </row>
    <row r="262" spans="1:15">
      <c r="A262" s="37"/>
      <c r="B262" s="37"/>
      <c r="C262" s="37"/>
      <c r="D262" s="63"/>
      <c r="E262" s="63"/>
      <c r="F262" s="63"/>
      <c r="G262" s="63"/>
      <c r="H262" s="63"/>
      <c r="I262" s="63"/>
      <c r="J262" s="63"/>
      <c r="K262" s="37"/>
      <c r="L262" s="37"/>
      <c r="M262" s="37"/>
      <c r="N262" s="37"/>
      <c r="O262" s="37"/>
    </row>
    <row r="263" spans="1:15">
      <c r="A263" s="37"/>
      <c r="B263" s="37"/>
      <c r="C263" s="37"/>
      <c r="D263" s="63"/>
      <c r="E263" s="63"/>
      <c r="F263" s="63"/>
      <c r="G263" s="63"/>
      <c r="H263" s="63"/>
      <c r="I263" s="63"/>
      <c r="J263" s="63"/>
      <c r="K263" s="37"/>
      <c r="L263" s="37"/>
      <c r="M263" s="37"/>
      <c r="N263" s="37"/>
      <c r="O263" s="37"/>
    </row>
    <row r="264" spans="1:15">
      <c r="A264" s="37"/>
      <c r="B264" s="37"/>
      <c r="C264" s="37"/>
      <c r="D264" s="63"/>
      <c r="E264" s="63"/>
      <c r="F264" s="63"/>
      <c r="G264" s="63"/>
      <c r="H264" s="63"/>
      <c r="I264" s="63"/>
      <c r="J264" s="63"/>
      <c r="K264" s="37"/>
      <c r="L264" s="37"/>
      <c r="M264" s="37"/>
      <c r="N264" s="37"/>
      <c r="O264" s="37"/>
    </row>
    <row r="265" spans="1:15">
      <c r="A265" s="37"/>
      <c r="B265" s="37"/>
      <c r="C265" s="37"/>
      <c r="D265" s="63"/>
      <c r="E265" s="63"/>
      <c r="F265" s="63"/>
      <c r="G265" s="63"/>
      <c r="H265" s="63"/>
      <c r="I265" s="63"/>
      <c r="J265" s="63"/>
      <c r="K265" s="37"/>
      <c r="L265" s="37"/>
      <c r="M265" s="37"/>
      <c r="N265" s="37"/>
      <c r="O265" s="37"/>
    </row>
    <row r="266" spans="1:15">
      <c r="A266" s="37"/>
      <c r="B266" s="37"/>
      <c r="C266" s="37"/>
      <c r="D266" s="63"/>
      <c r="E266" s="63"/>
      <c r="F266" s="63"/>
      <c r="G266" s="63"/>
      <c r="H266" s="63"/>
      <c r="I266" s="63"/>
      <c r="J266" s="63"/>
      <c r="K266" s="37"/>
      <c r="L266" s="37"/>
      <c r="M266" s="37"/>
      <c r="N266" s="37"/>
      <c r="O266" s="37"/>
    </row>
    <row r="267" spans="1:15">
      <c r="A267" s="37"/>
      <c r="B267" s="37"/>
      <c r="C267" s="37"/>
      <c r="D267" s="63"/>
      <c r="E267" s="63"/>
      <c r="F267" s="63"/>
      <c r="G267" s="63"/>
      <c r="H267" s="63"/>
      <c r="I267" s="63"/>
      <c r="J267" s="63"/>
      <c r="K267" s="37"/>
      <c r="L267" s="37"/>
      <c r="M267" s="37"/>
      <c r="N267" s="37"/>
      <c r="O267" s="37"/>
    </row>
    <row r="268" spans="1:15">
      <c r="A268" s="37"/>
      <c r="B268" s="37"/>
      <c r="C268" s="37"/>
      <c r="D268" s="63"/>
      <c r="E268" s="63"/>
      <c r="F268" s="63"/>
      <c r="G268" s="63"/>
      <c r="H268" s="63"/>
      <c r="I268" s="63"/>
      <c r="J268" s="63"/>
      <c r="K268" s="37"/>
      <c r="L268" s="37"/>
      <c r="M268" s="37"/>
      <c r="N268" s="37"/>
      <c r="O268" s="37"/>
    </row>
    <row r="269" spans="1:15">
      <c r="A269" s="37"/>
      <c r="B269" s="37"/>
      <c r="C269" s="37"/>
      <c r="D269" s="63"/>
      <c r="E269" s="63"/>
      <c r="F269" s="63"/>
      <c r="G269" s="63"/>
      <c r="H269" s="63"/>
      <c r="I269" s="63"/>
      <c r="J269" s="63"/>
      <c r="K269" s="37"/>
      <c r="L269" s="37"/>
      <c r="M269" s="37"/>
      <c r="N269" s="37"/>
      <c r="O269" s="37"/>
    </row>
    <row r="270" spans="1:15">
      <c r="A270" s="37"/>
      <c r="B270" s="37"/>
      <c r="C270" s="37"/>
      <c r="D270" s="63"/>
      <c r="E270" s="63"/>
      <c r="F270" s="63"/>
      <c r="G270" s="63"/>
      <c r="H270" s="63"/>
      <c r="I270" s="63"/>
      <c r="J270" s="63"/>
      <c r="K270" s="37"/>
      <c r="L270" s="37"/>
      <c r="M270" s="37"/>
      <c r="N270" s="37"/>
      <c r="O270" s="37"/>
    </row>
    <row r="271" spans="1:15">
      <c r="A271" s="37"/>
      <c r="B271" s="37"/>
      <c r="C271" s="37"/>
      <c r="D271" s="63"/>
      <c r="E271" s="63"/>
      <c r="F271" s="63"/>
      <c r="G271" s="63"/>
      <c r="H271" s="63"/>
      <c r="I271" s="63"/>
      <c r="J271" s="63"/>
      <c r="K271" s="37"/>
      <c r="L271" s="37"/>
      <c r="M271" s="37"/>
      <c r="N271" s="37"/>
      <c r="O271" s="37"/>
    </row>
    <row r="272" spans="1:15">
      <c r="A272" s="37"/>
      <c r="B272" s="37"/>
      <c r="C272" s="37"/>
      <c r="D272" s="63"/>
      <c r="E272" s="63"/>
      <c r="F272" s="63"/>
      <c r="G272" s="63"/>
      <c r="H272" s="63"/>
      <c r="I272" s="63"/>
      <c r="J272" s="63"/>
      <c r="K272" s="37"/>
      <c r="L272" s="37"/>
      <c r="M272" s="37"/>
      <c r="N272" s="37"/>
      <c r="O272" s="37"/>
    </row>
    <row r="273" spans="1:15">
      <c r="A273" s="37"/>
      <c r="B273" s="37"/>
      <c r="C273" s="37"/>
      <c r="D273" s="63"/>
      <c r="E273" s="63"/>
      <c r="F273" s="63"/>
      <c r="G273" s="63"/>
      <c r="H273" s="63"/>
      <c r="I273" s="63"/>
      <c r="J273" s="63"/>
      <c r="K273" s="37"/>
      <c r="L273" s="37"/>
      <c r="M273" s="37"/>
      <c r="N273" s="37"/>
      <c r="O273" s="37"/>
    </row>
    <row r="274" spans="1:15">
      <c r="A274" s="37"/>
      <c r="B274" s="37"/>
      <c r="C274" s="37"/>
      <c r="D274" s="63"/>
      <c r="E274" s="63"/>
      <c r="F274" s="63"/>
      <c r="G274" s="63"/>
      <c r="H274" s="63"/>
      <c r="I274" s="63"/>
      <c r="J274" s="63"/>
      <c r="K274" s="37"/>
      <c r="L274" s="37"/>
      <c r="M274" s="37"/>
      <c r="N274" s="37"/>
      <c r="O274" s="37"/>
    </row>
    <row r="275" spans="1:15">
      <c r="A275" s="37"/>
      <c r="B275" s="37"/>
      <c r="C275" s="37"/>
      <c r="D275" s="63"/>
      <c r="E275" s="63"/>
      <c r="F275" s="63"/>
      <c r="G275" s="63"/>
      <c r="H275" s="63"/>
      <c r="I275" s="63"/>
      <c r="J275" s="63"/>
      <c r="K275" s="37"/>
      <c r="L275" s="37"/>
      <c r="M275" s="37"/>
      <c r="N275" s="37"/>
      <c r="O275" s="37"/>
    </row>
    <row r="276" spans="1:15">
      <c r="A276" s="37"/>
      <c r="B276" s="37"/>
      <c r="C276" s="37"/>
      <c r="D276" s="63"/>
      <c r="E276" s="63"/>
      <c r="F276" s="63"/>
      <c r="G276" s="63"/>
      <c r="H276" s="63"/>
      <c r="I276" s="63"/>
      <c r="J276" s="63"/>
      <c r="K276" s="37"/>
      <c r="L276" s="37"/>
      <c r="M276" s="37"/>
      <c r="N276" s="37"/>
      <c r="O276" s="37"/>
    </row>
    <row r="277" spans="1:15">
      <c r="A277" s="37"/>
      <c r="B277" s="37"/>
      <c r="C277" s="37"/>
      <c r="D277" s="63"/>
      <c r="E277" s="63"/>
      <c r="F277" s="63"/>
      <c r="G277" s="63"/>
      <c r="H277" s="63"/>
      <c r="I277" s="63"/>
      <c r="J277" s="63"/>
      <c r="K277" s="37"/>
      <c r="L277" s="37"/>
      <c r="M277" s="37"/>
      <c r="N277" s="37"/>
      <c r="O277" s="37"/>
    </row>
    <row r="278" spans="1:15">
      <c r="A278" s="37"/>
      <c r="B278" s="37"/>
      <c r="C278" s="37"/>
      <c r="D278" s="63"/>
      <c r="E278" s="63"/>
      <c r="F278" s="63"/>
      <c r="G278" s="63"/>
      <c r="H278" s="63"/>
      <c r="I278" s="63"/>
      <c r="J278" s="63"/>
      <c r="K278" s="37"/>
      <c r="L278" s="37"/>
      <c r="M278" s="37"/>
      <c r="N278" s="37"/>
      <c r="O278" s="37"/>
    </row>
    <row r="279" spans="1:15">
      <c r="A279" s="37"/>
      <c r="B279" s="37"/>
      <c r="C279" s="37"/>
      <c r="D279" s="63"/>
      <c r="E279" s="63"/>
      <c r="F279" s="63"/>
      <c r="G279" s="63"/>
      <c r="H279" s="63"/>
      <c r="I279" s="63"/>
      <c r="J279" s="63"/>
      <c r="K279" s="37"/>
      <c r="L279" s="37"/>
      <c r="M279" s="37"/>
      <c r="N279" s="37"/>
      <c r="O279" s="37"/>
    </row>
    <row r="280" spans="1:15">
      <c r="A280" s="37"/>
      <c r="B280" s="37"/>
      <c r="C280" s="37"/>
      <c r="D280" s="63"/>
      <c r="E280" s="63"/>
      <c r="F280" s="63"/>
      <c r="G280" s="63"/>
      <c r="H280" s="63"/>
      <c r="I280" s="63"/>
      <c r="J280" s="63"/>
      <c r="K280" s="37"/>
      <c r="L280" s="37"/>
      <c r="M280" s="37"/>
      <c r="N280" s="37"/>
      <c r="O280" s="37"/>
    </row>
    <row r="281" spans="1:15">
      <c r="A281" s="37"/>
      <c r="B281" s="37"/>
      <c r="C281" s="37"/>
      <c r="D281" s="63"/>
      <c r="E281" s="63"/>
      <c r="F281" s="63"/>
      <c r="G281" s="63"/>
      <c r="H281" s="63"/>
      <c r="I281" s="63"/>
      <c r="J281" s="63"/>
      <c r="K281" s="37"/>
      <c r="L281" s="37"/>
      <c r="M281" s="37"/>
      <c r="N281" s="37"/>
      <c r="O281" s="37"/>
    </row>
    <row r="282" spans="1:15">
      <c r="A282" s="37"/>
      <c r="B282" s="37"/>
      <c r="C282" s="37"/>
      <c r="D282" s="63"/>
      <c r="E282" s="63"/>
      <c r="F282" s="63"/>
      <c r="G282" s="63"/>
      <c r="H282" s="63"/>
      <c r="I282" s="63"/>
      <c r="J282" s="63"/>
      <c r="K282" s="37"/>
      <c r="L282" s="37"/>
      <c r="M282" s="37"/>
      <c r="N282" s="37"/>
      <c r="O282" s="37"/>
    </row>
    <row r="283" spans="1:15">
      <c r="A283" s="37"/>
      <c r="B283" s="37"/>
      <c r="C283" s="37"/>
      <c r="D283" s="63"/>
      <c r="E283" s="63"/>
      <c r="F283" s="63"/>
      <c r="G283" s="63"/>
      <c r="H283" s="63"/>
      <c r="I283" s="63"/>
      <c r="J283" s="63"/>
      <c r="K283" s="37"/>
      <c r="L283" s="37"/>
      <c r="M283" s="37"/>
      <c r="N283" s="37"/>
      <c r="O283" s="37"/>
    </row>
    <row r="284" spans="1:15">
      <c r="A284" s="37"/>
      <c r="B284" s="37"/>
      <c r="C284" s="37"/>
      <c r="D284" s="63"/>
      <c r="E284" s="63"/>
      <c r="F284" s="63"/>
      <c r="G284" s="63"/>
      <c r="H284" s="63"/>
      <c r="I284" s="63"/>
      <c r="J284" s="63"/>
      <c r="K284" s="37"/>
      <c r="L284" s="37"/>
      <c r="M284" s="37"/>
      <c r="N284" s="37"/>
      <c r="O284" s="37"/>
    </row>
    <row r="285" spans="1:15">
      <c r="A285" s="37"/>
      <c r="B285" s="37"/>
      <c r="C285" s="37"/>
      <c r="D285" s="63"/>
      <c r="E285" s="63"/>
      <c r="F285" s="63"/>
      <c r="G285" s="63"/>
      <c r="H285" s="63"/>
      <c r="I285" s="63"/>
      <c r="J285" s="63"/>
      <c r="K285" s="37"/>
      <c r="L285" s="37"/>
      <c r="M285" s="37"/>
      <c r="N285" s="37"/>
      <c r="O285" s="37"/>
    </row>
    <row r="286" spans="1:15">
      <c r="A286" s="37"/>
      <c r="B286" s="37"/>
      <c r="C286" s="37"/>
      <c r="D286" s="63"/>
      <c r="E286" s="63"/>
      <c r="F286" s="63"/>
      <c r="G286" s="63"/>
      <c r="H286" s="63"/>
      <c r="I286" s="63"/>
      <c r="J286" s="63"/>
      <c r="K286" s="37"/>
      <c r="L286" s="37"/>
      <c r="M286" s="37"/>
      <c r="N286" s="37"/>
      <c r="O286" s="37"/>
    </row>
    <row r="287" spans="1:15">
      <c r="A287" s="37"/>
      <c r="B287" s="37"/>
      <c r="C287" s="37"/>
      <c r="D287" s="63"/>
      <c r="E287" s="63"/>
      <c r="F287" s="63"/>
      <c r="G287" s="63"/>
      <c r="H287" s="63"/>
      <c r="I287" s="63"/>
      <c r="J287" s="63"/>
      <c r="K287" s="37"/>
      <c r="L287" s="37"/>
      <c r="M287" s="37"/>
      <c r="N287" s="37"/>
      <c r="O287" s="37"/>
    </row>
    <row r="288" spans="1:15">
      <c r="A288" s="37"/>
      <c r="B288" s="37"/>
      <c r="C288" s="37"/>
      <c r="D288" s="63"/>
      <c r="E288" s="63"/>
      <c r="F288" s="63"/>
      <c r="G288" s="63"/>
      <c r="H288" s="63"/>
      <c r="I288" s="63"/>
      <c r="J288" s="63"/>
      <c r="K288" s="37"/>
      <c r="L288" s="37"/>
      <c r="M288" s="37"/>
      <c r="N288" s="37"/>
      <c r="O288" s="37"/>
    </row>
    <row r="289" spans="1:15">
      <c r="A289" s="37"/>
      <c r="B289" s="37"/>
      <c r="C289" s="37"/>
      <c r="D289" s="63"/>
      <c r="E289" s="63"/>
      <c r="F289" s="63"/>
      <c r="G289" s="63"/>
      <c r="H289" s="63"/>
      <c r="I289" s="63"/>
      <c r="J289" s="63"/>
      <c r="K289" s="37"/>
      <c r="L289" s="37"/>
      <c r="M289" s="37"/>
      <c r="N289" s="37"/>
      <c r="O289" s="37"/>
    </row>
    <row r="290" spans="1:15">
      <c r="A290" s="37"/>
      <c r="B290" s="37"/>
      <c r="C290" s="37"/>
      <c r="D290" s="63"/>
      <c r="E290" s="63"/>
      <c r="F290" s="63"/>
      <c r="G290" s="63"/>
      <c r="H290" s="63"/>
      <c r="I290" s="63"/>
      <c r="J290" s="63"/>
      <c r="K290" s="37"/>
      <c r="L290" s="37"/>
      <c r="M290" s="37"/>
      <c r="N290" s="37"/>
      <c r="O290" s="37"/>
    </row>
    <row r="291" spans="1:15">
      <c r="A291" s="37"/>
      <c r="B291" s="37"/>
      <c r="C291" s="37"/>
      <c r="D291" s="63"/>
      <c r="E291" s="63"/>
      <c r="F291" s="63"/>
      <c r="G291" s="63"/>
      <c r="H291" s="63"/>
      <c r="I291" s="63"/>
      <c r="J291" s="63"/>
      <c r="K291" s="37"/>
      <c r="L291" s="37"/>
      <c r="M291" s="37"/>
      <c r="N291" s="37"/>
      <c r="O291" s="37"/>
    </row>
    <row r="292" spans="1:15">
      <c r="A292" s="37"/>
      <c r="B292" s="37"/>
      <c r="C292" s="37"/>
      <c r="D292" s="63"/>
      <c r="E292" s="63"/>
      <c r="F292" s="63"/>
      <c r="G292" s="63"/>
      <c r="H292" s="63"/>
      <c r="I292" s="63"/>
      <c r="J292" s="63"/>
      <c r="K292" s="37"/>
      <c r="L292" s="37"/>
      <c r="M292" s="37"/>
      <c r="N292" s="37"/>
      <c r="O292" s="37"/>
    </row>
    <row r="293" spans="1:15">
      <c r="A293" s="37"/>
      <c r="B293" s="37"/>
      <c r="C293" s="37"/>
      <c r="D293" s="63"/>
      <c r="E293" s="63"/>
      <c r="F293" s="63"/>
      <c r="G293" s="63"/>
      <c r="H293" s="63"/>
      <c r="I293" s="63"/>
      <c r="J293" s="63"/>
      <c r="K293" s="37"/>
      <c r="L293" s="37"/>
      <c r="M293" s="37"/>
      <c r="N293" s="37"/>
      <c r="O293" s="37"/>
    </row>
    <row r="294" spans="1:15">
      <c r="A294" s="37"/>
      <c r="B294" s="37"/>
      <c r="C294" s="37"/>
      <c r="D294" s="63"/>
      <c r="E294" s="63"/>
      <c r="F294" s="63"/>
      <c r="G294" s="63"/>
      <c r="H294" s="63"/>
      <c r="I294" s="63"/>
      <c r="J294" s="63"/>
      <c r="K294" s="37"/>
      <c r="L294" s="37"/>
      <c r="M294" s="37"/>
      <c r="N294" s="37"/>
      <c r="O294" s="37"/>
    </row>
    <row r="295" spans="1:15">
      <c r="A295" s="37"/>
      <c r="B295" s="37"/>
      <c r="C295" s="37"/>
      <c r="D295" s="63"/>
      <c r="E295" s="63"/>
      <c r="F295" s="63"/>
      <c r="G295" s="63"/>
      <c r="H295" s="63"/>
      <c r="I295" s="63"/>
      <c r="J295" s="63"/>
      <c r="K295" s="37"/>
      <c r="L295" s="37"/>
      <c r="M295" s="37"/>
      <c r="N295" s="37"/>
      <c r="O295" s="37"/>
    </row>
    <row r="296" spans="1:15">
      <c r="A296" s="37"/>
      <c r="B296" s="37"/>
      <c r="C296" s="37"/>
      <c r="D296" s="63"/>
      <c r="E296" s="63"/>
      <c r="F296" s="63"/>
      <c r="G296" s="63"/>
      <c r="H296" s="63"/>
      <c r="I296" s="63"/>
      <c r="J296" s="63"/>
      <c r="K296" s="37"/>
      <c r="L296" s="37"/>
      <c r="M296" s="37"/>
      <c r="N296" s="37"/>
      <c r="O296" s="37"/>
    </row>
    <row r="297" spans="1:15">
      <c r="A297" s="37"/>
      <c r="B297" s="37"/>
      <c r="C297" s="37"/>
      <c r="D297" s="63"/>
      <c r="E297" s="63"/>
      <c r="F297" s="63"/>
      <c r="G297" s="63"/>
      <c r="H297" s="63"/>
      <c r="I297" s="63"/>
      <c r="J297" s="63"/>
      <c r="K297" s="37"/>
      <c r="L297" s="37"/>
      <c r="M297" s="37"/>
      <c r="N297" s="37"/>
      <c r="O297" s="37"/>
    </row>
    <row r="298" spans="1:15">
      <c r="A298" s="37"/>
      <c r="B298" s="37"/>
      <c r="C298" s="37"/>
      <c r="D298" s="63"/>
      <c r="E298" s="63"/>
      <c r="F298" s="63"/>
      <c r="G298" s="63"/>
      <c r="H298" s="63"/>
      <c r="I298" s="63"/>
      <c r="J298" s="63"/>
      <c r="K298" s="37"/>
      <c r="L298" s="37"/>
      <c r="M298" s="37"/>
      <c r="N298" s="37"/>
      <c r="O298" s="37"/>
    </row>
    <row r="299" spans="1:15">
      <c r="A299" s="37"/>
      <c r="B299" s="37"/>
      <c r="C299" s="37"/>
      <c r="D299" s="63"/>
      <c r="E299" s="63"/>
      <c r="F299" s="63"/>
      <c r="G299" s="63"/>
      <c r="H299" s="63"/>
      <c r="I299" s="63"/>
      <c r="J299" s="63"/>
      <c r="K299" s="37"/>
      <c r="L299" s="37"/>
      <c r="M299" s="37"/>
      <c r="N299" s="37"/>
      <c r="O299" s="37"/>
    </row>
    <row r="300" spans="1:15">
      <c r="A300" s="37"/>
      <c r="B300" s="37"/>
      <c r="C300" s="37"/>
      <c r="D300" s="63"/>
      <c r="E300" s="63"/>
      <c r="F300" s="63"/>
      <c r="G300" s="63"/>
      <c r="H300" s="63"/>
      <c r="I300" s="63"/>
      <c r="J300" s="63"/>
      <c r="K300" s="37"/>
      <c r="L300" s="37"/>
      <c r="M300" s="37"/>
      <c r="N300" s="37"/>
      <c r="O300" s="37"/>
    </row>
    <row r="301" spans="1:15">
      <c r="A301" s="37"/>
      <c r="B301" s="37"/>
      <c r="C301" s="37"/>
      <c r="D301" s="63"/>
      <c r="E301" s="63"/>
      <c r="F301" s="63"/>
      <c r="G301" s="63"/>
      <c r="H301" s="63"/>
      <c r="I301" s="63"/>
      <c r="J301" s="63"/>
      <c r="K301" s="37"/>
      <c r="L301" s="37"/>
      <c r="M301" s="37"/>
      <c r="N301" s="37"/>
      <c r="O301" s="37"/>
    </row>
    <row r="302" spans="1:15">
      <c r="A302" s="37"/>
      <c r="B302" s="37"/>
      <c r="C302" s="37"/>
      <c r="D302" s="63"/>
      <c r="E302" s="63"/>
      <c r="F302" s="63"/>
      <c r="G302" s="63"/>
      <c r="H302" s="63"/>
      <c r="I302" s="63"/>
      <c r="J302" s="63"/>
      <c r="K302" s="37"/>
      <c r="L302" s="37"/>
      <c r="M302" s="37"/>
      <c r="N302" s="37"/>
      <c r="O302" s="37"/>
    </row>
    <row r="303" spans="1:15">
      <c r="A303" s="37"/>
      <c r="B303" s="37"/>
      <c r="C303" s="37"/>
      <c r="D303" s="63"/>
      <c r="E303" s="63"/>
      <c r="F303" s="63"/>
      <c r="G303" s="63"/>
      <c r="H303" s="63"/>
      <c r="I303" s="63"/>
      <c r="J303" s="63"/>
      <c r="K303" s="37"/>
      <c r="L303" s="37"/>
      <c r="M303" s="37"/>
      <c r="N303" s="37"/>
      <c r="O303" s="37"/>
    </row>
    <row r="304" spans="1:15">
      <c r="A304" s="37"/>
      <c r="B304" s="37"/>
      <c r="C304" s="37"/>
      <c r="D304" s="63"/>
      <c r="E304" s="63"/>
      <c r="F304" s="63"/>
      <c r="G304" s="63"/>
      <c r="H304" s="63"/>
      <c r="I304" s="63"/>
      <c r="J304" s="63"/>
      <c r="K304" s="37"/>
      <c r="L304" s="37"/>
      <c r="M304" s="37"/>
      <c r="N304" s="37"/>
      <c r="O304" s="37"/>
    </row>
    <row r="305" spans="1:15">
      <c r="A305" s="37"/>
      <c r="B305" s="37"/>
      <c r="C305" s="37"/>
      <c r="D305" s="63"/>
      <c r="E305" s="63"/>
      <c r="F305" s="63"/>
      <c r="G305" s="63"/>
      <c r="H305" s="63"/>
      <c r="I305" s="63"/>
      <c r="J305" s="63"/>
      <c r="K305" s="37"/>
      <c r="L305" s="37"/>
      <c r="M305" s="37"/>
      <c r="N305" s="37"/>
      <c r="O305" s="37"/>
    </row>
    <row r="306" spans="1:15">
      <c r="A306" s="37"/>
      <c r="B306" s="37"/>
      <c r="C306" s="37"/>
      <c r="D306" s="63"/>
      <c r="E306" s="63"/>
      <c r="F306" s="63"/>
      <c r="G306" s="63"/>
      <c r="H306" s="63"/>
      <c r="I306" s="63"/>
      <c r="J306" s="63"/>
      <c r="K306" s="37"/>
      <c r="L306" s="37"/>
      <c r="M306" s="37"/>
      <c r="N306" s="37"/>
      <c r="O306" s="37"/>
    </row>
    <row r="307" spans="1:15">
      <c r="A307" s="37"/>
      <c r="B307" s="37"/>
      <c r="C307" s="37"/>
      <c r="D307" s="63"/>
      <c r="E307" s="63"/>
      <c r="F307" s="63"/>
      <c r="G307" s="63"/>
      <c r="H307" s="63"/>
      <c r="I307" s="63"/>
      <c r="J307" s="63"/>
      <c r="K307" s="37"/>
      <c r="L307" s="37"/>
      <c r="M307" s="37"/>
      <c r="N307" s="37"/>
      <c r="O307" s="37"/>
    </row>
    <row r="308" spans="1:15">
      <c r="A308" s="37"/>
      <c r="B308" s="37"/>
      <c r="C308" s="37"/>
      <c r="D308" s="63"/>
      <c r="E308" s="63"/>
      <c r="F308" s="63"/>
      <c r="G308" s="63"/>
      <c r="H308" s="63"/>
      <c r="I308" s="63"/>
      <c r="J308" s="63"/>
      <c r="K308" s="37"/>
      <c r="L308" s="37"/>
      <c r="M308" s="37"/>
      <c r="N308" s="37"/>
      <c r="O308" s="37"/>
    </row>
    <row r="309" spans="1:15">
      <c r="A309" s="37"/>
      <c r="B309" s="37"/>
      <c r="C309" s="37"/>
      <c r="D309" s="63"/>
      <c r="E309" s="63"/>
      <c r="F309" s="63"/>
      <c r="G309" s="63"/>
      <c r="H309" s="63"/>
      <c r="I309" s="63"/>
      <c r="J309" s="63"/>
      <c r="K309" s="37"/>
      <c r="L309" s="37"/>
      <c r="M309" s="37"/>
      <c r="N309" s="37"/>
      <c r="O309" s="37"/>
    </row>
    <row r="310" spans="1:15">
      <c r="A310" s="37"/>
      <c r="B310" s="37"/>
      <c r="C310" s="37"/>
      <c r="D310" s="63"/>
      <c r="E310" s="63"/>
      <c r="F310" s="63"/>
      <c r="G310" s="63"/>
      <c r="H310" s="63"/>
      <c r="I310" s="63"/>
      <c r="J310" s="63"/>
      <c r="K310" s="37"/>
      <c r="L310" s="37"/>
      <c r="M310" s="37"/>
      <c r="N310" s="37"/>
      <c r="O310" s="37"/>
    </row>
    <row r="311" spans="1:15">
      <c r="A311" s="37"/>
      <c r="B311" s="37"/>
      <c r="C311" s="37"/>
      <c r="D311" s="63"/>
      <c r="E311" s="63"/>
      <c r="F311" s="63"/>
      <c r="G311" s="63"/>
      <c r="H311" s="63"/>
      <c r="I311" s="63"/>
      <c r="J311" s="63"/>
      <c r="K311" s="37"/>
      <c r="L311" s="37"/>
      <c r="M311" s="37"/>
      <c r="N311" s="37"/>
      <c r="O311" s="37"/>
    </row>
    <row r="312" spans="1:15">
      <c r="A312" s="37"/>
      <c r="B312" s="37"/>
      <c r="C312" s="37"/>
      <c r="D312" s="63"/>
      <c r="E312" s="63"/>
      <c r="F312" s="63"/>
      <c r="G312" s="63"/>
      <c r="H312" s="63"/>
      <c r="I312" s="63"/>
      <c r="J312" s="63"/>
      <c r="K312" s="37"/>
      <c r="L312" s="37"/>
      <c r="M312" s="37"/>
      <c r="N312" s="37"/>
      <c r="O312" s="37"/>
    </row>
    <row r="313" spans="1:15">
      <c r="A313" s="37"/>
      <c r="B313" s="37"/>
      <c r="C313" s="37"/>
      <c r="D313" s="63"/>
      <c r="E313" s="63"/>
      <c r="F313" s="63"/>
      <c r="G313" s="63"/>
      <c r="H313" s="63"/>
      <c r="I313" s="63"/>
      <c r="J313" s="63"/>
      <c r="K313" s="37"/>
      <c r="L313" s="37"/>
      <c r="M313" s="37"/>
      <c r="N313" s="37"/>
      <c r="O313" s="37"/>
    </row>
    <row r="314" spans="1:15">
      <c r="A314" s="37"/>
      <c r="B314" s="37"/>
      <c r="C314" s="37"/>
      <c r="D314" s="63"/>
      <c r="E314" s="63"/>
      <c r="F314" s="63"/>
      <c r="G314" s="63"/>
      <c r="H314" s="63"/>
      <c r="I314" s="63"/>
      <c r="J314" s="63"/>
      <c r="K314" s="37"/>
      <c r="L314" s="37"/>
      <c r="M314" s="37"/>
      <c r="N314" s="37"/>
      <c r="O314" s="37"/>
    </row>
    <row r="315" spans="1:15">
      <c r="A315" s="37"/>
      <c r="B315" s="37"/>
      <c r="C315" s="37"/>
      <c r="D315" s="63"/>
      <c r="E315" s="63"/>
      <c r="F315" s="63"/>
      <c r="G315" s="63"/>
      <c r="H315" s="63"/>
      <c r="I315" s="63"/>
      <c r="J315" s="63"/>
      <c r="K315" s="37"/>
      <c r="L315" s="37"/>
      <c r="M315" s="37"/>
      <c r="N315" s="37"/>
      <c r="O315" s="37"/>
    </row>
    <row r="316" spans="1:15">
      <c r="A316" s="37"/>
      <c r="B316" s="37"/>
      <c r="C316" s="37"/>
      <c r="D316" s="63"/>
      <c r="E316" s="63"/>
      <c r="F316" s="63"/>
      <c r="G316" s="63"/>
      <c r="H316" s="63"/>
      <c r="I316" s="63"/>
      <c r="J316" s="63"/>
      <c r="K316" s="37"/>
      <c r="L316" s="37"/>
      <c r="M316" s="37"/>
      <c r="N316" s="37"/>
      <c r="O316" s="37"/>
    </row>
    <row r="317" spans="1:15">
      <c r="A317" s="37"/>
      <c r="B317" s="37"/>
      <c r="C317" s="37"/>
      <c r="D317" s="63"/>
      <c r="E317" s="63"/>
      <c r="F317" s="63"/>
      <c r="G317" s="63"/>
      <c r="H317" s="63"/>
      <c r="I317" s="63"/>
      <c r="J317" s="63"/>
      <c r="K317" s="37"/>
      <c r="L317" s="37"/>
      <c r="M317" s="37"/>
      <c r="N317" s="37"/>
      <c r="O317" s="37"/>
    </row>
    <row r="318" spans="1:15">
      <c r="A318" s="37"/>
      <c r="B318" s="37"/>
      <c r="C318" s="37"/>
      <c r="D318" s="63"/>
      <c r="E318" s="63"/>
      <c r="F318" s="63"/>
      <c r="G318" s="63"/>
      <c r="H318" s="63"/>
      <c r="I318" s="63"/>
      <c r="J318" s="63"/>
      <c r="K318" s="37"/>
      <c r="L318" s="37"/>
      <c r="M318" s="37"/>
      <c r="N318" s="37"/>
      <c r="O318" s="37"/>
    </row>
    <row r="319" spans="1:15">
      <c r="A319" s="37"/>
      <c r="B319" s="37"/>
      <c r="C319" s="37"/>
      <c r="D319" s="63"/>
      <c r="E319" s="63"/>
      <c r="F319" s="63"/>
      <c r="G319" s="63"/>
      <c r="H319" s="63"/>
      <c r="I319" s="63"/>
      <c r="J319" s="63"/>
      <c r="K319" s="37"/>
      <c r="L319" s="37"/>
      <c r="M319" s="37"/>
      <c r="N319" s="37"/>
      <c r="O319" s="37"/>
    </row>
    <row r="320" spans="1:15">
      <c r="A320" s="37"/>
      <c r="B320" s="37"/>
      <c r="C320" s="37"/>
      <c r="D320" s="63"/>
      <c r="E320" s="63"/>
      <c r="F320" s="63"/>
      <c r="G320" s="63"/>
      <c r="H320" s="63"/>
      <c r="I320" s="63"/>
      <c r="J320" s="63"/>
      <c r="K320" s="37"/>
      <c r="L320" s="37"/>
      <c r="M320" s="37"/>
      <c r="N320" s="37"/>
      <c r="O320" s="37"/>
    </row>
    <row r="321" spans="1:15">
      <c r="A321" s="37"/>
      <c r="B321" s="37"/>
      <c r="C321" s="37"/>
      <c r="D321" s="63"/>
      <c r="E321" s="63"/>
      <c r="F321" s="63"/>
      <c r="G321" s="63"/>
      <c r="H321" s="63"/>
      <c r="I321" s="63"/>
      <c r="J321" s="63"/>
      <c r="K321" s="37"/>
      <c r="L321" s="37"/>
      <c r="M321" s="37"/>
      <c r="N321" s="37"/>
      <c r="O321" s="37"/>
    </row>
    <row r="322" spans="1:15">
      <c r="A322" s="37"/>
      <c r="B322" s="37"/>
      <c r="C322" s="37"/>
      <c r="D322" s="63"/>
      <c r="E322" s="63"/>
      <c r="F322" s="63"/>
      <c r="G322" s="63"/>
      <c r="H322" s="63"/>
      <c r="I322" s="63"/>
      <c r="J322" s="63"/>
      <c r="K322" s="37"/>
      <c r="L322" s="37"/>
      <c r="M322" s="37"/>
      <c r="N322" s="37"/>
      <c r="O322" s="37"/>
    </row>
    <row r="323" spans="1:15">
      <c r="A323" s="37"/>
      <c r="B323" s="37"/>
      <c r="C323" s="37"/>
      <c r="D323" s="63"/>
      <c r="E323" s="63"/>
      <c r="F323" s="63"/>
      <c r="G323" s="63"/>
      <c r="H323" s="63"/>
      <c r="I323" s="63"/>
      <c r="J323" s="63"/>
      <c r="K323" s="37"/>
      <c r="L323" s="37"/>
      <c r="M323" s="37"/>
      <c r="N323" s="37"/>
      <c r="O323" s="37"/>
    </row>
    <row r="324" spans="1:15">
      <c r="A324" s="37"/>
      <c r="B324" s="37"/>
      <c r="C324" s="37"/>
      <c r="D324" s="63"/>
      <c r="E324" s="63"/>
      <c r="F324" s="63"/>
      <c r="G324" s="63"/>
      <c r="H324" s="63"/>
      <c r="I324" s="63"/>
      <c r="J324" s="63"/>
      <c r="K324" s="37"/>
      <c r="L324" s="37"/>
      <c r="M324" s="37"/>
      <c r="N324" s="37"/>
      <c r="O324" s="37"/>
    </row>
    <row r="325" spans="1:15">
      <c r="A325" s="37"/>
      <c r="B325" s="37"/>
      <c r="C325" s="37"/>
      <c r="D325" s="63"/>
      <c r="E325" s="63"/>
      <c r="F325" s="63"/>
      <c r="G325" s="63"/>
      <c r="H325" s="63"/>
      <c r="I325" s="63"/>
      <c r="J325" s="63"/>
      <c r="K325" s="37"/>
      <c r="L325" s="37"/>
      <c r="M325" s="37"/>
      <c r="N325" s="37"/>
      <c r="O325" s="37"/>
    </row>
    <row r="326" spans="1:15">
      <c r="A326" s="37"/>
      <c r="B326" s="37"/>
      <c r="C326" s="37"/>
      <c r="D326" s="63"/>
      <c r="E326" s="63"/>
      <c r="F326" s="63"/>
      <c r="G326" s="63"/>
      <c r="H326" s="63"/>
      <c r="I326" s="63"/>
      <c r="J326" s="63"/>
      <c r="K326" s="37"/>
      <c r="L326" s="37"/>
      <c r="M326" s="37"/>
      <c r="N326" s="37"/>
      <c r="O326" s="37"/>
    </row>
    <row r="327" spans="1:15">
      <c r="A327" s="37"/>
      <c r="B327" s="37"/>
      <c r="C327" s="37"/>
      <c r="D327" s="63"/>
      <c r="E327" s="63"/>
      <c r="F327" s="63"/>
      <c r="G327" s="63"/>
      <c r="H327" s="63"/>
      <c r="I327" s="63"/>
      <c r="J327" s="63"/>
      <c r="K327" s="37"/>
      <c r="L327" s="37"/>
      <c r="M327" s="37"/>
      <c r="N327" s="37"/>
      <c r="O327" s="37"/>
    </row>
    <row r="328" spans="1:15">
      <c r="A328" s="37"/>
      <c r="B328" s="37"/>
      <c r="C328" s="37"/>
      <c r="D328" s="63"/>
      <c r="E328" s="63"/>
      <c r="F328" s="63"/>
      <c r="G328" s="63"/>
      <c r="H328" s="63"/>
      <c r="I328" s="63"/>
      <c r="J328" s="63"/>
      <c r="K328" s="37"/>
      <c r="L328" s="37"/>
      <c r="M328" s="37"/>
      <c r="N328" s="37"/>
      <c r="O328" s="37"/>
    </row>
    <row r="329" spans="1:15">
      <c r="A329" s="37"/>
      <c r="B329" s="37"/>
      <c r="C329" s="37"/>
      <c r="D329" s="63"/>
      <c r="E329" s="63"/>
      <c r="F329" s="63"/>
      <c r="G329" s="63"/>
      <c r="H329" s="63"/>
      <c r="I329" s="63"/>
      <c r="J329" s="63"/>
      <c r="K329" s="37"/>
      <c r="L329" s="37"/>
      <c r="M329" s="37"/>
      <c r="N329" s="37"/>
      <c r="O329" s="37"/>
    </row>
    <row r="330" spans="1:15">
      <c r="A330" s="37"/>
      <c r="B330" s="37"/>
      <c r="C330" s="37"/>
      <c r="D330" s="63"/>
      <c r="E330" s="63"/>
      <c r="F330" s="63"/>
      <c r="G330" s="63"/>
      <c r="H330" s="63"/>
      <c r="I330" s="63"/>
      <c r="J330" s="63"/>
      <c r="K330" s="37"/>
      <c r="L330" s="37"/>
      <c r="M330" s="37"/>
      <c r="N330" s="37"/>
      <c r="O330" s="37"/>
    </row>
    <row r="331" spans="1:15">
      <c r="A331" s="37"/>
      <c r="B331" s="37"/>
      <c r="C331" s="37"/>
      <c r="D331" s="63"/>
      <c r="E331" s="63"/>
      <c r="F331" s="63"/>
      <c r="G331" s="63"/>
      <c r="H331" s="63"/>
      <c r="I331" s="63"/>
      <c r="J331" s="63"/>
      <c r="K331" s="37"/>
      <c r="L331" s="37"/>
      <c r="M331" s="37"/>
      <c r="N331" s="37"/>
      <c r="O331" s="37"/>
    </row>
    <row r="332" spans="1:15">
      <c r="A332" s="37"/>
      <c r="B332" s="37"/>
      <c r="C332" s="37"/>
      <c r="D332" s="63"/>
      <c r="E332" s="63"/>
      <c r="F332" s="63"/>
      <c r="G332" s="63"/>
      <c r="H332" s="63"/>
      <c r="I332" s="63"/>
      <c r="J332" s="63"/>
      <c r="K332" s="37"/>
      <c r="L332" s="37"/>
      <c r="M332" s="37"/>
      <c r="N332" s="37"/>
      <c r="O332" s="37"/>
    </row>
    <row r="333" spans="1:15">
      <c r="A333" s="37"/>
      <c r="B333" s="37"/>
      <c r="C333" s="37"/>
      <c r="D333" s="63"/>
      <c r="E333" s="63"/>
      <c r="F333" s="63"/>
      <c r="G333" s="63"/>
      <c r="H333" s="63"/>
      <c r="I333" s="63"/>
      <c r="J333" s="63"/>
      <c r="K333" s="37"/>
      <c r="L333" s="37"/>
      <c r="M333" s="37"/>
      <c r="N333" s="37"/>
      <c r="O333" s="37"/>
    </row>
    <row r="334" spans="1:15">
      <c r="A334" s="37"/>
      <c r="B334" s="37"/>
      <c r="C334" s="37"/>
      <c r="D334" s="63"/>
      <c r="E334" s="63"/>
      <c r="F334" s="63"/>
      <c r="G334" s="63"/>
      <c r="H334" s="63"/>
      <c r="I334" s="63"/>
      <c r="J334" s="63"/>
      <c r="K334" s="37"/>
      <c r="L334" s="37"/>
      <c r="M334" s="37"/>
      <c r="N334" s="37"/>
      <c r="O334" s="37"/>
    </row>
    <row r="335" spans="1:15">
      <c r="A335" s="37"/>
      <c r="B335" s="37"/>
      <c r="C335" s="37"/>
      <c r="D335" s="63"/>
      <c r="E335" s="63"/>
      <c r="F335" s="63"/>
      <c r="G335" s="63"/>
      <c r="H335" s="63"/>
      <c r="I335" s="63"/>
      <c r="J335" s="63"/>
      <c r="K335" s="37"/>
      <c r="L335" s="37"/>
      <c r="M335" s="37"/>
      <c r="N335" s="37"/>
      <c r="O335" s="37"/>
    </row>
    <row r="336" spans="1:15">
      <c r="A336" s="37"/>
      <c r="B336" s="37"/>
      <c r="C336" s="37"/>
      <c r="D336" s="63"/>
      <c r="E336" s="63"/>
      <c r="F336" s="63"/>
      <c r="G336" s="63"/>
      <c r="H336" s="63"/>
      <c r="I336" s="63"/>
      <c r="J336" s="63"/>
      <c r="K336" s="37"/>
      <c r="L336" s="37"/>
      <c r="M336" s="37"/>
      <c r="N336" s="37"/>
      <c r="O336" s="37"/>
    </row>
    <row r="337" spans="1:15">
      <c r="A337" s="37"/>
      <c r="B337" s="37"/>
      <c r="C337" s="37"/>
      <c r="D337" s="63"/>
      <c r="E337" s="63"/>
      <c r="F337" s="63"/>
      <c r="G337" s="63"/>
      <c r="H337" s="63"/>
      <c r="I337" s="63"/>
      <c r="J337" s="63"/>
      <c r="K337" s="37"/>
      <c r="L337" s="37"/>
      <c r="M337" s="37"/>
      <c r="N337" s="37"/>
      <c r="O337" s="37"/>
    </row>
    <row r="338" spans="1:15">
      <c r="A338" s="37"/>
      <c r="B338" s="37"/>
      <c r="C338" s="37"/>
      <c r="D338" s="63"/>
      <c r="E338" s="63"/>
      <c r="F338" s="63"/>
      <c r="G338" s="63"/>
      <c r="H338" s="63"/>
      <c r="I338" s="63"/>
      <c r="J338" s="63"/>
      <c r="K338" s="37"/>
      <c r="L338" s="37"/>
      <c r="M338" s="37"/>
      <c r="N338" s="37"/>
      <c r="O338" s="37"/>
    </row>
    <row r="339" spans="1:15">
      <c r="A339" s="37"/>
      <c r="B339" s="37"/>
      <c r="C339" s="37"/>
      <c r="D339" s="63"/>
      <c r="E339" s="63"/>
      <c r="F339" s="63"/>
      <c r="G339" s="63"/>
      <c r="H339" s="63"/>
      <c r="I339" s="63"/>
      <c r="J339" s="63"/>
      <c r="K339" s="37"/>
      <c r="L339" s="37"/>
      <c r="M339" s="37"/>
      <c r="N339" s="37"/>
      <c r="O339" s="37"/>
    </row>
    <row r="340" spans="1:15">
      <c r="A340" s="37"/>
      <c r="B340" s="37"/>
      <c r="C340" s="37"/>
      <c r="D340" s="63"/>
      <c r="E340" s="63"/>
      <c r="F340" s="63"/>
      <c r="G340" s="63"/>
      <c r="H340" s="63"/>
      <c r="I340" s="63"/>
      <c r="J340" s="63"/>
      <c r="K340" s="37"/>
      <c r="L340" s="37"/>
      <c r="M340" s="37"/>
      <c r="N340" s="37"/>
      <c r="O340" s="37"/>
    </row>
    <row r="341" spans="1:15">
      <c r="A341" s="37"/>
      <c r="B341" s="37"/>
      <c r="C341" s="37"/>
      <c r="D341" s="63"/>
      <c r="E341" s="63"/>
      <c r="F341" s="63"/>
      <c r="G341" s="63"/>
      <c r="H341" s="63"/>
      <c r="I341" s="63"/>
      <c r="J341" s="63"/>
      <c r="K341" s="37"/>
      <c r="L341" s="37"/>
      <c r="M341" s="37"/>
      <c r="N341" s="37"/>
      <c r="O341" s="37"/>
    </row>
    <row r="342" spans="1:15">
      <c r="A342" s="37"/>
      <c r="B342" s="37"/>
      <c r="C342" s="37"/>
      <c r="D342" s="63"/>
      <c r="E342" s="63"/>
      <c r="F342" s="63"/>
      <c r="G342" s="63"/>
      <c r="H342" s="63"/>
      <c r="I342" s="63"/>
      <c r="J342" s="63"/>
      <c r="K342" s="37"/>
      <c r="L342" s="37"/>
      <c r="M342" s="37"/>
      <c r="N342" s="37"/>
      <c r="O342" s="37"/>
    </row>
    <row r="343" spans="1:15">
      <c r="A343" s="37"/>
      <c r="B343" s="37"/>
      <c r="C343" s="37"/>
      <c r="D343" s="63"/>
      <c r="E343" s="63"/>
      <c r="F343" s="63"/>
      <c r="G343" s="63"/>
      <c r="H343" s="63"/>
      <c r="I343" s="63"/>
      <c r="J343" s="63"/>
      <c r="K343" s="37"/>
      <c r="L343" s="37"/>
      <c r="M343" s="37"/>
      <c r="N343" s="37"/>
      <c r="O343" s="37"/>
    </row>
    <row r="344" spans="1:15">
      <c r="A344" s="37"/>
      <c r="B344" s="37"/>
      <c r="C344" s="37"/>
      <c r="D344" s="63"/>
      <c r="E344" s="63"/>
      <c r="F344" s="63"/>
      <c r="G344" s="63"/>
      <c r="H344" s="63"/>
      <c r="I344" s="63"/>
      <c r="J344" s="63"/>
      <c r="K344" s="37"/>
      <c r="L344" s="37"/>
      <c r="M344" s="37"/>
      <c r="N344" s="37"/>
      <c r="O344" s="37"/>
    </row>
    <row r="345" spans="1:15">
      <c r="A345" s="37"/>
      <c r="B345" s="37"/>
      <c r="C345" s="37"/>
      <c r="D345" s="63"/>
      <c r="E345" s="63"/>
      <c r="F345" s="63"/>
      <c r="G345" s="63"/>
      <c r="H345" s="63"/>
      <c r="I345" s="63"/>
      <c r="J345" s="63"/>
      <c r="K345" s="37"/>
      <c r="L345" s="37"/>
      <c r="M345" s="37"/>
      <c r="N345" s="37"/>
      <c r="O345" s="37"/>
    </row>
    <row r="346" spans="1:15">
      <c r="A346" s="37"/>
      <c r="B346" s="37"/>
      <c r="C346" s="37"/>
      <c r="D346" s="63"/>
      <c r="E346" s="63"/>
      <c r="F346" s="63"/>
      <c r="G346" s="63"/>
      <c r="H346" s="63"/>
      <c r="I346" s="63"/>
      <c r="J346" s="63"/>
      <c r="K346" s="37"/>
      <c r="L346" s="37"/>
      <c r="M346" s="37"/>
      <c r="N346" s="37"/>
      <c r="O346" s="37"/>
    </row>
    <row r="347" spans="1:15">
      <c r="A347" s="37"/>
      <c r="B347" s="37"/>
      <c r="C347" s="37"/>
      <c r="D347" s="63"/>
      <c r="E347" s="63"/>
      <c r="F347" s="63"/>
      <c r="G347" s="63"/>
      <c r="H347" s="63"/>
      <c r="I347" s="63"/>
      <c r="J347" s="63"/>
      <c r="K347" s="37"/>
      <c r="L347" s="37"/>
      <c r="M347" s="37"/>
      <c r="N347" s="37"/>
      <c r="O347" s="37"/>
    </row>
    <row r="348" spans="1:15">
      <c r="A348" s="37"/>
      <c r="B348" s="37"/>
      <c r="C348" s="37"/>
      <c r="D348" s="63"/>
      <c r="E348" s="63"/>
      <c r="F348" s="63"/>
      <c r="G348" s="63"/>
      <c r="H348" s="63"/>
      <c r="I348" s="63"/>
      <c r="J348" s="63"/>
      <c r="K348" s="37"/>
      <c r="L348" s="37"/>
      <c r="M348" s="37"/>
      <c r="N348" s="37"/>
      <c r="O348" s="37"/>
    </row>
    <row r="349" spans="1:15">
      <c r="A349" s="37"/>
      <c r="B349" s="37"/>
      <c r="C349" s="37"/>
      <c r="D349" s="63"/>
      <c r="E349" s="63"/>
      <c r="F349" s="63"/>
      <c r="G349" s="63"/>
      <c r="H349" s="63"/>
      <c r="I349" s="63"/>
      <c r="J349" s="63"/>
      <c r="K349" s="37"/>
      <c r="L349" s="37"/>
      <c r="M349" s="37"/>
      <c r="N349" s="37"/>
      <c r="O349" s="37"/>
    </row>
    <row r="350" spans="1:15">
      <c r="A350" s="37"/>
      <c r="B350" s="37"/>
      <c r="C350" s="37"/>
      <c r="D350" s="63"/>
      <c r="E350" s="63"/>
      <c r="F350" s="63"/>
      <c r="G350" s="63"/>
      <c r="H350" s="63"/>
      <c r="I350" s="63"/>
      <c r="J350" s="63"/>
      <c r="K350" s="37"/>
      <c r="L350" s="37"/>
      <c r="M350" s="37"/>
      <c r="N350" s="37"/>
      <c r="O350" s="37"/>
    </row>
    <row r="351" spans="1:15">
      <c r="A351" s="37"/>
      <c r="B351" s="37"/>
      <c r="C351" s="37"/>
      <c r="D351" s="63"/>
      <c r="E351" s="63"/>
      <c r="F351" s="63"/>
      <c r="G351" s="63"/>
      <c r="H351" s="63"/>
      <c r="I351" s="63"/>
      <c r="J351" s="63"/>
      <c r="K351" s="37"/>
      <c r="L351" s="37"/>
      <c r="M351" s="37"/>
      <c r="N351" s="37"/>
      <c r="O351" s="37"/>
    </row>
    <row r="352" spans="1:15">
      <c r="A352" s="37"/>
      <c r="B352" s="37"/>
      <c r="C352" s="37"/>
      <c r="D352" s="63"/>
      <c r="E352" s="63"/>
      <c r="F352" s="63"/>
      <c r="G352" s="63"/>
      <c r="H352" s="63"/>
      <c r="I352" s="63"/>
      <c r="J352" s="63"/>
      <c r="K352" s="37"/>
      <c r="L352" s="37"/>
      <c r="M352" s="37"/>
      <c r="N352" s="37"/>
      <c r="O352" s="37"/>
    </row>
    <row r="353" spans="1:15">
      <c r="A353" s="37"/>
      <c r="B353" s="37"/>
      <c r="C353" s="37"/>
      <c r="D353" s="63"/>
      <c r="E353" s="63"/>
      <c r="F353" s="63"/>
      <c r="G353" s="63"/>
      <c r="H353" s="63"/>
      <c r="I353" s="63"/>
      <c r="J353" s="63"/>
      <c r="K353" s="37"/>
      <c r="L353" s="37"/>
      <c r="M353" s="37"/>
      <c r="N353" s="37"/>
      <c r="O353" s="37"/>
    </row>
    <row r="354" spans="1:15">
      <c r="A354" s="37"/>
      <c r="B354" s="37"/>
      <c r="C354" s="37"/>
      <c r="D354" s="63"/>
      <c r="E354" s="63"/>
      <c r="F354" s="63"/>
      <c r="G354" s="63"/>
      <c r="H354" s="63"/>
      <c r="I354" s="63"/>
      <c r="J354" s="63"/>
      <c r="K354" s="37"/>
      <c r="L354" s="37"/>
      <c r="M354" s="37"/>
      <c r="N354" s="37"/>
      <c r="O354" s="37"/>
    </row>
    <row r="355" spans="1:15">
      <c r="A355" s="37"/>
      <c r="B355" s="37"/>
      <c r="C355" s="37"/>
      <c r="D355" s="63"/>
      <c r="E355" s="63"/>
      <c r="F355" s="63"/>
      <c r="G355" s="63"/>
      <c r="H355" s="63"/>
      <c r="I355" s="63"/>
      <c r="J355" s="63"/>
      <c r="K355" s="37"/>
      <c r="L355" s="37"/>
      <c r="M355" s="37"/>
      <c r="N355" s="37"/>
      <c r="O355" s="37"/>
    </row>
    <row r="356" spans="1:15">
      <c r="A356" s="37"/>
      <c r="B356" s="37"/>
      <c r="C356" s="37"/>
      <c r="D356" s="63"/>
      <c r="E356" s="63"/>
      <c r="F356" s="63"/>
      <c r="G356" s="63"/>
      <c r="H356" s="63"/>
      <c r="I356" s="63"/>
      <c r="J356" s="63"/>
      <c r="K356" s="37"/>
      <c r="L356" s="37"/>
      <c r="M356" s="37"/>
      <c r="N356" s="37"/>
      <c r="O356" s="37"/>
    </row>
    <row r="357" spans="1:15">
      <c r="A357" s="37"/>
      <c r="B357" s="37"/>
      <c r="C357" s="37"/>
      <c r="D357" s="63"/>
      <c r="E357" s="63"/>
      <c r="F357" s="63"/>
      <c r="G357" s="63"/>
      <c r="H357" s="63"/>
      <c r="I357" s="63"/>
      <c r="J357" s="63"/>
      <c r="K357" s="37"/>
      <c r="L357" s="37"/>
      <c r="M357" s="37"/>
      <c r="N357" s="37"/>
      <c r="O357" s="37"/>
    </row>
    <row r="358" spans="1:15">
      <c r="A358" s="37"/>
      <c r="B358" s="37"/>
      <c r="C358" s="37"/>
      <c r="D358" s="63"/>
      <c r="E358" s="63"/>
      <c r="F358" s="63"/>
      <c r="G358" s="63"/>
      <c r="H358" s="63"/>
      <c r="I358" s="63"/>
      <c r="J358" s="63"/>
      <c r="K358" s="37"/>
      <c r="L358" s="37"/>
      <c r="M358" s="37"/>
      <c r="N358" s="37"/>
      <c r="O358" s="37"/>
    </row>
    <row r="359" spans="1:15">
      <c r="A359" s="37"/>
      <c r="B359" s="37"/>
      <c r="C359" s="37"/>
      <c r="D359" s="63"/>
      <c r="E359" s="63"/>
      <c r="F359" s="63"/>
      <c r="G359" s="63"/>
      <c r="H359" s="63"/>
      <c r="I359" s="63"/>
      <c r="J359" s="63"/>
      <c r="K359" s="37"/>
      <c r="L359" s="37"/>
      <c r="M359" s="37"/>
      <c r="N359" s="37"/>
      <c r="O359" s="37"/>
    </row>
    <row r="360" spans="1:15">
      <c r="A360" s="37"/>
      <c r="B360" s="37"/>
      <c r="C360" s="37"/>
      <c r="D360" s="63"/>
      <c r="E360" s="63"/>
      <c r="F360" s="63"/>
      <c r="G360" s="63"/>
      <c r="H360" s="63"/>
      <c r="I360" s="63"/>
      <c r="J360" s="63"/>
      <c r="K360" s="37"/>
      <c r="L360" s="37"/>
      <c r="M360" s="37"/>
      <c r="N360" s="37"/>
      <c r="O360" s="37"/>
    </row>
    <row r="361" spans="1:15">
      <c r="A361" s="37"/>
      <c r="B361" s="37"/>
      <c r="C361" s="37"/>
      <c r="D361" s="63"/>
      <c r="E361" s="63"/>
      <c r="F361" s="63"/>
      <c r="G361" s="63"/>
      <c r="H361" s="63"/>
      <c r="I361" s="63"/>
      <c r="J361" s="63"/>
      <c r="K361" s="37"/>
      <c r="L361" s="37"/>
      <c r="M361" s="37"/>
      <c r="N361" s="37"/>
      <c r="O361" s="37"/>
    </row>
    <row r="362" spans="1:15">
      <c r="A362" s="37"/>
      <c r="B362" s="37"/>
      <c r="C362" s="37"/>
      <c r="D362" s="63"/>
      <c r="E362" s="63"/>
      <c r="F362" s="63"/>
      <c r="G362" s="63"/>
      <c r="H362" s="63"/>
      <c r="I362" s="63"/>
      <c r="J362" s="63"/>
      <c r="K362" s="37"/>
      <c r="L362" s="37"/>
      <c r="M362" s="37"/>
      <c r="N362" s="37"/>
      <c r="O362" s="37"/>
    </row>
    <row r="363" spans="1:15">
      <c r="A363" s="37"/>
      <c r="B363" s="37"/>
      <c r="C363" s="37"/>
      <c r="D363" s="63"/>
      <c r="E363" s="63"/>
      <c r="F363" s="63"/>
      <c r="G363" s="63"/>
      <c r="H363" s="63"/>
      <c r="I363" s="63"/>
      <c r="J363" s="63"/>
      <c r="K363" s="37"/>
      <c r="L363" s="37"/>
      <c r="M363" s="37"/>
      <c r="N363" s="37"/>
      <c r="O363" s="37"/>
    </row>
    <row r="364" spans="1:15">
      <c r="A364" s="37"/>
      <c r="B364" s="37"/>
      <c r="C364" s="37"/>
      <c r="D364" s="63"/>
      <c r="E364" s="63"/>
      <c r="F364" s="63"/>
      <c r="G364" s="63"/>
      <c r="H364" s="63"/>
      <c r="I364" s="63"/>
      <c r="J364" s="63"/>
      <c r="K364" s="37"/>
      <c r="L364" s="37"/>
      <c r="M364" s="37"/>
      <c r="N364" s="37"/>
      <c r="O364" s="37"/>
    </row>
    <row r="365" spans="1:15">
      <c r="A365" s="37"/>
      <c r="B365" s="37"/>
      <c r="C365" s="37"/>
      <c r="D365" s="63"/>
      <c r="E365" s="63"/>
      <c r="F365" s="63"/>
      <c r="G365" s="63"/>
      <c r="H365" s="63"/>
      <c r="I365" s="63"/>
      <c r="J365" s="63"/>
      <c r="K365" s="37"/>
      <c r="L365" s="37"/>
      <c r="M365" s="37"/>
      <c r="N365" s="37"/>
      <c r="O365" s="37"/>
    </row>
    <row r="366" spans="1:15">
      <c r="A366" s="37"/>
      <c r="B366" s="37"/>
      <c r="C366" s="37"/>
      <c r="D366" s="63"/>
      <c r="E366" s="63"/>
      <c r="F366" s="63"/>
      <c r="G366" s="63"/>
      <c r="H366" s="63"/>
      <c r="I366" s="63"/>
      <c r="J366" s="63"/>
      <c r="K366" s="37"/>
      <c r="L366" s="37"/>
      <c r="M366" s="37"/>
      <c r="N366" s="37"/>
      <c r="O366" s="37"/>
    </row>
    <row r="367" spans="1:15">
      <c r="A367" s="37"/>
      <c r="B367" s="37"/>
      <c r="C367" s="37"/>
      <c r="D367" s="63"/>
      <c r="E367" s="63"/>
      <c r="F367" s="63"/>
      <c r="G367" s="63"/>
      <c r="H367" s="63"/>
      <c r="I367" s="63"/>
      <c r="J367" s="63"/>
      <c r="K367" s="37"/>
      <c r="L367" s="37"/>
      <c r="M367" s="37"/>
      <c r="N367" s="37"/>
      <c r="O367" s="37"/>
    </row>
    <row r="368" spans="1:15">
      <c r="A368" s="37"/>
      <c r="B368" s="37"/>
      <c r="C368" s="37"/>
      <c r="D368" s="63"/>
      <c r="E368" s="63"/>
      <c r="F368" s="63"/>
      <c r="G368" s="63"/>
      <c r="H368" s="63"/>
      <c r="I368" s="63"/>
      <c r="J368" s="63"/>
      <c r="K368" s="37"/>
      <c r="L368" s="37"/>
      <c r="M368" s="37"/>
      <c r="N368" s="37"/>
      <c r="O368" s="37"/>
    </row>
    <row r="369" spans="1:15">
      <c r="A369" s="37"/>
      <c r="B369" s="37"/>
      <c r="C369" s="37"/>
      <c r="D369" s="63"/>
      <c r="E369" s="63"/>
      <c r="F369" s="63"/>
      <c r="G369" s="63"/>
      <c r="H369" s="63"/>
      <c r="I369" s="63"/>
      <c r="J369" s="63"/>
      <c r="K369" s="37"/>
      <c r="L369" s="37"/>
      <c r="M369" s="37"/>
      <c r="N369" s="37"/>
      <c r="O369" s="37"/>
    </row>
    <row r="370" spans="1:15">
      <c r="A370" s="37"/>
      <c r="B370" s="37"/>
      <c r="C370" s="37"/>
      <c r="D370" s="63"/>
      <c r="E370" s="63"/>
      <c r="F370" s="63"/>
      <c r="G370" s="63"/>
      <c r="H370" s="63"/>
      <c r="I370" s="63"/>
      <c r="J370" s="63"/>
      <c r="K370" s="37"/>
      <c r="L370" s="37"/>
      <c r="M370" s="37"/>
      <c r="N370" s="37"/>
      <c r="O370" s="37"/>
    </row>
    <row r="371" spans="1:15">
      <c r="A371" s="37"/>
      <c r="B371" s="37"/>
      <c r="C371" s="37"/>
      <c r="D371" s="63"/>
      <c r="E371" s="63"/>
      <c r="F371" s="63"/>
      <c r="G371" s="63"/>
      <c r="H371" s="63"/>
      <c r="I371" s="63"/>
      <c r="J371" s="63"/>
      <c r="K371" s="37"/>
      <c r="L371" s="37"/>
      <c r="M371" s="37"/>
      <c r="N371" s="37"/>
      <c r="O371" s="37"/>
    </row>
    <row r="372" spans="1:15">
      <c r="A372" s="37"/>
      <c r="B372" s="37"/>
      <c r="C372" s="37"/>
      <c r="D372" s="63"/>
      <c r="E372" s="63"/>
      <c r="F372" s="63"/>
      <c r="G372" s="63"/>
      <c r="H372" s="63"/>
      <c r="I372" s="63"/>
      <c r="J372" s="63"/>
      <c r="K372" s="37"/>
      <c r="L372" s="37"/>
      <c r="M372" s="37"/>
      <c r="N372" s="37"/>
      <c r="O372" s="37"/>
    </row>
    <row r="373" spans="1:15">
      <c r="A373" s="37"/>
      <c r="B373" s="37"/>
      <c r="C373" s="37"/>
      <c r="D373" s="63"/>
      <c r="E373" s="63"/>
      <c r="F373" s="63"/>
      <c r="G373" s="63"/>
      <c r="H373" s="63"/>
      <c r="I373" s="63"/>
      <c r="J373" s="63"/>
      <c r="K373" s="37"/>
      <c r="L373" s="37"/>
      <c r="M373" s="37"/>
      <c r="N373" s="37"/>
      <c r="O373" s="37"/>
    </row>
    <row r="374" spans="1:15">
      <c r="A374" s="37"/>
      <c r="B374" s="37"/>
      <c r="C374" s="37"/>
      <c r="D374" s="63"/>
      <c r="E374" s="63"/>
      <c r="F374" s="63"/>
      <c r="G374" s="63"/>
      <c r="H374" s="63"/>
      <c r="I374" s="63"/>
      <c r="J374" s="63"/>
      <c r="K374" s="37"/>
      <c r="L374" s="37"/>
      <c r="M374" s="37"/>
      <c r="N374" s="37"/>
      <c r="O374" s="37"/>
    </row>
    <row r="375" spans="1:15">
      <c r="A375" s="37"/>
      <c r="B375" s="37"/>
      <c r="C375" s="37"/>
      <c r="D375" s="63"/>
      <c r="E375" s="63"/>
      <c r="F375" s="63"/>
      <c r="G375" s="63"/>
      <c r="H375" s="63"/>
      <c r="I375" s="63"/>
      <c r="J375" s="63"/>
      <c r="K375" s="37"/>
      <c r="L375" s="37"/>
      <c r="M375" s="37"/>
      <c r="N375" s="37"/>
      <c r="O375" s="37"/>
    </row>
    <row r="376" spans="1:15">
      <c r="A376" s="37"/>
      <c r="B376" s="37"/>
      <c r="C376" s="37"/>
      <c r="D376" s="63"/>
      <c r="E376" s="63"/>
      <c r="F376" s="63"/>
      <c r="G376" s="63"/>
      <c r="H376" s="63"/>
      <c r="I376" s="63"/>
      <c r="J376" s="63"/>
      <c r="K376" s="37"/>
      <c r="L376" s="37"/>
      <c r="M376" s="37"/>
      <c r="N376" s="37"/>
      <c r="O376" s="37"/>
    </row>
    <row r="377" spans="1:15">
      <c r="A377" s="37"/>
      <c r="B377" s="37"/>
      <c r="C377" s="37"/>
      <c r="D377" s="63"/>
      <c r="E377" s="63"/>
      <c r="F377" s="63"/>
      <c r="G377" s="63"/>
      <c r="H377" s="63"/>
      <c r="I377" s="63"/>
      <c r="J377" s="63"/>
      <c r="K377" s="37"/>
      <c r="L377" s="37"/>
      <c r="M377" s="37"/>
      <c r="N377" s="37"/>
      <c r="O377" s="37"/>
    </row>
    <row r="378" spans="1:15">
      <c r="A378" s="37"/>
      <c r="B378" s="37"/>
      <c r="C378" s="37"/>
      <c r="D378" s="63"/>
      <c r="E378" s="63"/>
      <c r="F378" s="63"/>
      <c r="G378" s="63"/>
      <c r="H378" s="63"/>
      <c r="I378" s="63"/>
      <c r="J378" s="63"/>
      <c r="K378" s="37"/>
      <c r="L378" s="37"/>
      <c r="M378" s="37"/>
      <c r="N378" s="37"/>
      <c r="O378" s="37"/>
    </row>
    <row r="379" spans="1:15">
      <c r="A379" s="37"/>
      <c r="B379" s="37"/>
      <c r="C379" s="37"/>
      <c r="D379" s="63"/>
      <c r="E379" s="63"/>
      <c r="F379" s="63"/>
      <c r="G379" s="63"/>
      <c r="H379" s="63"/>
      <c r="I379" s="63"/>
      <c r="J379" s="63"/>
      <c r="K379" s="37"/>
      <c r="L379" s="37"/>
      <c r="M379" s="37"/>
      <c r="N379" s="37"/>
      <c r="O379" s="37"/>
    </row>
    <row r="380" spans="1:15">
      <c r="A380" s="37"/>
      <c r="B380" s="37"/>
      <c r="C380" s="37"/>
      <c r="D380" s="63"/>
      <c r="E380" s="63"/>
      <c r="F380" s="63"/>
      <c r="G380" s="63"/>
      <c r="H380" s="63"/>
      <c r="I380" s="63"/>
      <c r="J380" s="63"/>
      <c r="K380" s="37"/>
      <c r="L380" s="37"/>
      <c r="M380" s="37"/>
      <c r="N380" s="37"/>
      <c r="O380" s="37"/>
    </row>
    <row r="381" spans="1:15">
      <c r="A381" s="37"/>
      <c r="B381" s="37"/>
      <c r="C381" s="37"/>
      <c r="D381" s="63"/>
      <c r="E381" s="63"/>
      <c r="F381" s="63"/>
      <c r="G381" s="63"/>
      <c r="H381" s="63"/>
      <c r="I381" s="63"/>
      <c r="J381" s="63"/>
      <c r="K381" s="37"/>
      <c r="L381" s="37"/>
      <c r="M381" s="37"/>
      <c r="N381" s="37"/>
      <c r="O381" s="37"/>
    </row>
    <row r="382" spans="1:15">
      <c r="A382" s="37"/>
      <c r="B382" s="37"/>
      <c r="C382" s="37"/>
      <c r="D382" s="63"/>
      <c r="E382" s="63"/>
      <c r="F382" s="63"/>
      <c r="G382" s="63"/>
      <c r="H382" s="63"/>
      <c r="I382" s="63"/>
      <c r="J382" s="63"/>
      <c r="K382" s="37"/>
      <c r="L382" s="37"/>
      <c r="M382" s="37"/>
      <c r="N382" s="37"/>
      <c r="O382" s="37"/>
    </row>
    <row r="383" spans="1:15">
      <c r="A383" s="37"/>
      <c r="B383" s="37"/>
      <c r="C383" s="37"/>
      <c r="D383" s="63"/>
      <c r="E383" s="63"/>
      <c r="F383" s="63"/>
      <c r="G383" s="63"/>
      <c r="H383" s="63"/>
      <c r="I383" s="63"/>
      <c r="J383" s="63"/>
      <c r="K383" s="37"/>
      <c r="L383" s="37"/>
      <c r="M383" s="37"/>
      <c r="N383" s="37"/>
      <c r="O383" s="37"/>
    </row>
    <row r="384" spans="1:15">
      <c r="A384" s="37"/>
      <c r="B384" s="37"/>
      <c r="C384" s="37"/>
      <c r="D384" s="63"/>
      <c r="E384" s="63"/>
      <c r="F384" s="63"/>
      <c r="G384" s="63"/>
      <c r="H384" s="63"/>
      <c r="I384" s="63"/>
      <c r="J384" s="63"/>
      <c r="K384" s="37"/>
      <c r="L384" s="37"/>
      <c r="M384" s="37"/>
      <c r="N384" s="37"/>
      <c r="O384" s="37"/>
    </row>
    <row r="385" spans="1:15">
      <c r="A385" s="37"/>
      <c r="B385" s="37"/>
      <c r="C385" s="37"/>
      <c r="D385" s="63"/>
      <c r="E385" s="63"/>
      <c r="F385" s="63"/>
      <c r="G385" s="63"/>
      <c r="H385" s="63"/>
      <c r="I385" s="63"/>
      <c r="J385" s="63"/>
      <c r="K385" s="37"/>
      <c r="L385" s="37"/>
      <c r="M385" s="37"/>
      <c r="N385" s="37"/>
      <c r="O385" s="37"/>
    </row>
    <row r="386" spans="1:15">
      <c r="A386" s="37"/>
      <c r="B386" s="37"/>
      <c r="C386" s="37"/>
      <c r="D386" s="63"/>
      <c r="E386" s="63"/>
      <c r="F386" s="63"/>
      <c r="G386" s="63"/>
      <c r="H386" s="63"/>
      <c r="I386" s="63"/>
      <c r="J386" s="63"/>
      <c r="K386" s="37"/>
      <c r="L386" s="37"/>
      <c r="M386" s="37"/>
      <c r="N386" s="37"/>
      <c r="O386" s="37"/>
    </row>
    <row r="387" spans="1:15">
      <c r="A387" s="37"/>
      <c r="B387" s="37"/>
      <c r="C387" s="37"/>
      <c r="D387" s="63"/>
      <c r="E387" s="63"/>
      <c r="F387" s="63"/>
      <c r="G387" s="63"/>
      <c r="H387" s="63"/>
      <c r="I387" s="63"/>
      <c r="J387" s="63"/>
      <c r="K387" s="37"/>
      <c r="L387" s="37"/>
      <c r="M387" s="37"/>
      <c r="N387" s="37"/>
      <c r="O387" s="37"/>
    </row>
    <row r="388" spans="1:15">
      <c r="A388" s="37"/>
      <c r="B388" s="37"/>
      <c r="C388" s="37"/>
      <c r="D388" s="63"/>
      <c r="E388" s="63"/>
      <c r="F388" s="63"/>
      <c r="G388" s="63"/>
      <c r="H388" s="63"/>
      <c r="I388" s="63"/>
      <c r="J388" s="63"/>
      <c r="K388" s="37"/>
      <c r="L388" s="37"/>
      <c r="M388" s="37"/>
      <c r="N388" s="37"/>
      <c r="O388" s="37"/>
    </row>
    <row r="389" spans="1:15">
      <c r="A389" s="37"/>
      <c r="B389" s="37"/>
      <c r="C389" s="37"/>
      <c r="D389" s="63"/>
      <c r="E389" s="63"/>
      <c r="F389" s="63"/>
      <c r="G389" s="63"/>
      <c r="H389" s="63"/>
      <c r="I389" s="63"/>
      <c r="J389" s="63"/>
      <c r="K389" s="37"/>
      <c r="L389" s="37"/>
      <c r="M389" s="37"/>
      <c r="N389" s="37"/>
      <c r="O389" s="37"/>
    </row>
    <row r="390" spans="1:15">
      <c r="A390" s="37"/>
      <c r="B390" s="37"/>
      <c r="C390" s="37"/>
      <c r="D390" s="63"/>
      <c r="E390" s="63"/>
      <c r="F390" s="63"/>
      <c r="G390" s="63"/>
      <c r="H390" s="63"/>
      <c r="I390" s="63"/>
      <c r="J390" s="63"/>
      <c r="K390" s="37"/>
      <c r="L390" s="37"/>
      <c r="M390" s="37"/>
      <c r="N390" s="37"/>
      <c r="O390" s="37"/>
    </row>
    <row r="391" spans="1:15">
      <c r="A391" s="37"/>
      <c r="B391" s="37"/>
      <c r="C391" s="37"/>
      <c r="D391" s="63"/>
      <c r="E391" s="63"/>
      <c r="F391" s="63"/>
      <c r="G391" s="63"/>
      <c r="H391" s="63"/>
      <c r="I391" s="63"/>
      <c r="J391" s="63"/>
      <c r="K391" s="37"/>
      <c r="L391" s="37"/>
      <c r="M391" s="37"/>
      <c r="N391" s="37"/>
      <c r="O391" s="37"/>
    </row>
    <row r="392" spans="1:15">
      <c r="A392" s="37"/>
      <c r="B392" s="37"/>
      <c r="C392" s="37"/>
      <c r="D392" s="63"/>
      <c r="E392" s="63"/>
      <c r="F392" s="63"/>
      <c r="G392" s="63"/>
      <c r="H392" s="63"/>
      <c r="I392" s="63"/>
      <c r="J392" s="63"/>
      <c r="K392" s="37"/>
      <c r="L392" s="37"/>
      <c r="M392" s="37"/>
      <c r="N392" s="37"/>
      <c r="O392" s="37"/>
    </row>
    <row r="393" spans="1:15">
      <c r="A393" s="37"/>
      <c r="B393" s="37"/>
      <c r="C393" s="37"/>
      <c r="D393" s="63"/>
      <c r="E393" s="63"/>
      <c r="F393" s="63"/>
      <c r="G393" s="63"/>
      <c r="H393" s="63"/>
      <c r="I393" s="63"/>
      <c r="J393" s="63"/>
      <c r="K393" s="37"/>
      <c r="L393" s="37"/>
      <c r="M393" s="37"/>
      <c r="N393" s="37"/>
      <c r="O393" s="37"/>
    </row>
    <row r="394" spans="1:15">
      <c r="D394" s="12"/>
      <c r="E394" s="12"/>
      <c r="F394" s="12"/>
      <c r="G394" s="12"/>
      <c r="H394" s="12"/>
      <c r="I394" s="12"/>
      <c r="J394" s="12"/>
    </row>
    <row r="395" spans="1:15">
      <c r="D395" s="12"/>
      <c r="E395" s="12"/>
      <c r="F395" s="12"/>
      <c r="G395" s="12"/>
      <c r="H395" s="12"/>
      <c r="I395" s="12"/>
      <c r="J395" s="12"/>
    </row>
    <row r="396" spans="1:15">
      <c r="D396" s="12"/>
      <c r="E396" s="12"/>
      <c r="F396" s="12"/>
      <c r="G396" s="12"/>
      <c r="H396" s="12"/>
      <c r="I396" s="12"/>
      <c r="J396" s="12"/>
    </row>
    <row r="397" spans="1:15">
      <c r="D397" s="12"/>
      <c r="E397" s="12"/>
      <c r="F397" s="12"/>
      <c r="G397" s="12"/>
      <c r="H397" s="12"/>
      <c r="I397" s="12"/>
      <c r="J397" s="12"/>
    </row>
    <row r="398" spans="1:15">
      <c r="D398" s="12"/>
      <c r="E398" s="12"/>
      <c r="F398" s="12"/>
      <c r="G398" s="12"/>
      <c r="H398" s="12"/>
      <c r="I398" s="12"/>
      <c r="J398" s="12"/>
    </row>
    <row r="399" spans="1:15">
      <c r="D399" s="12"/>
      <c r="E399" s="12"/>
      <c r="F399" s="12"/>
      <c r="G399" s="12"/>
      <c r="H399" s="12"/>
      <c r="I399" s="12"/>
      <c r="J399" s="12"/>
    </row>
    <row r="400" spans="1:15">
      <c r="D400" s="12"/>
      <c r="E400" s="12"/>
      <c r="F400" s="12"/>
      <c r="G400" s="12"/>
      <c r="H400" s="12"/>
      <c r="I400" s="12"/>
      <c r="J400" s="12"/>
    </row>
    <row r="401" spans="4:10">
      <c r="D401" s="12"/>
      <c r="E401" s="12"/>
      <c r="F401" s="12"/>
      <c r="G401" s="12"/>
      <c r="H401" s="12"/>
      <c r="I401" s="12"/>
      <c r="J401" s="12"/>
    </row>
    <row r="402" spans="4:10">
      <c r="D402" s="12"/>
      <c r="E402" s="12"/>
      <c r="F402" s="12"/>
      <c r="G402" s="12"/>
      <c r="H402" s="12"/>
      <c r="I402" s="12"/>
      <c r="J402" s="12"/>
    </row>
    <row r="403" spans="4:10">
      <c r="D403" s="12"/>
      <c r="E403" s="12"/>
      <c r="F403" s="12"/>
      <c r="G403" s="12"/>
      <c r="H403" s="12"/>
      <c r="I403" s="12"/>
      <c r="J403" s="12"/>
    </row>
    <row r="404" spans="4:10">
      <c r="D404" s="12"/>
      <c r="E404" s="12"/>
      <c r="F404" s="12"/>
      <c r="G404" s="12"/>
      <c r="H404" s="12"/>
      <c r="I404" s="12"/>
      <c r="J404" s="12"/>
    </row>
    <row r="405" spans="4:10">
      <c r="D405" s="12"/>
      <c r="E405" s="12"/>
      <c r="F405" s="12"/>
      <c r="G405" s="12"/>
      <c r="H405" s="12"/>
      <c r="I405" s="12"/>
      <c r="J405" s="12"/>
    </row>
    <row r="406" spans="4:10">
      <c r="D406" s="12"/>
      <c r="E406" s="12"/>
      <c r="F406" s="12"/>
      <c r="G406" s="12"/>
      <c r="H406" s="12"/>
      <c r="I406" s="12"/>
      <c r="J406" s="12"/>
    </row>
    <row r="407" spans="4:10">
      <c r="D407" s="12"/>
      <c r="E407" s="12"/>
      <c r="F407" s="12"/>
      <c r="G407" s="12"/>
      <c r="H407" s="12"/>
      <c r="I407" s="12"/>
      <c r="J407" s="12"/>
    </row>
    <row r="408" spans="4:10">
      <c r="D408" s="12"/>
      <c r="E408" s="12"/>
      <c r="F408" s="12"/>
      <c r="G408" s="12"/>
      <c r="H408" s="12"/>
      <c r="I408" s="12"/>
      <c r="J408" s="12"/>
    </row>
    <row r="409" spans="4:10">
      <c r="D409" s="12"/>
      <c r="E409" s="12"/>
      <c r="F409" s="12"/>
      <c r="G409" s="12"/>
      <c r="H409" s="12"/>
      <c r="I409" s="12"/>
      <c r="J409" s="12"/>
    </row>
    <row r="410" spans="4:10">
      <c r="D410" s="12"/>
      <c r="E410" s="12"/>
      <c r="F410" s="12"/>
      <c r="G410" s="12"/>
      <c r="H410" s="12"/>
      <c r="I410" s="12"/>
      <c r="J410" s="12"/>
    </row>
    <row r="411" spans="4:10">
      <c r="D411" s="12"/>
      <c r="E411" s="12"/>
      <c r="F411" s="12"/>
      <c r="G411" s="12"/>
      <c r="H411" s="12"/>
      <c r="I411" s="12"/>
      <c r="J411" s="12"/>
    </row>
    <row r="412" spans="4:10">
      <c r="D412" s="12"/>
      <c r="E412" s="12"/>
      <c r="F412" s="12"/>
      <c r="G412" s="12"/>
      <c r="H412" s="12"/>
      <c r="I412" s="12"/>
      <c r="J412" s="12"/>
    </row>
    <row r="413" spans="4:10">
      <c r="D413" s="12"/>
      <c r="E413" s="12"/>
      <c r="F413" s="12"/>
      <c r="G413" s="12"/>
      <c r="H413" s="12"/>
      <c r="I413" s="12"/>
      <c r="J413" s="12"/>
    </row>
    <row r="414" spans="4:10">
      <c r="D414" s="12"/>
      <c r="E414" s="12"/>
      <c r="F414" s="12"/>
      <c r="G414" s="12"/>
      <c r="H414" s="12"/>
      <c r="I414" s="12"/>
      <c r="J414" s="12"/>
    </row>
    <row r="415" spans="4:10">
      <c r="D415" s="12"/>
      <c r="E415" s="12"/>
      <c r="F415" s="12"/>
      <c r="G415" s="12"/>
      <c r="H415" s="12"/>
      <c r="I415" s="12"/>
      <c r="J415" s="12"/>
    </row>
    <row r="416" spans="4:10">
      <c r="D416" s="12"/>
      <c r="E416" s="12"/>
      <c r="F416" s="12"/>
      <c r="G416" s="12"/>
      <c r="H416" s="12"/>
      <c r="I416" s="12"/>
      <c r="J416" s="12"/>
    </row>
    <row r="417" spans="4:10">
      <c r="D417" s="12"/>
      <c r="E417" s="12"/>
      <c r="F417" s="12"/>
      <c r="G417" s="12"/>
      <c r="H417" s="12"/>
      <c r="I417" s="12"/>
      <c r="J417" s="12"/>
    </row>
    <row r="418" spans="4:10">
      <c r="D418" s="12"/>
      <c r="E418" s="12"/>
      <c r="F418" s="12"/>
      <c r="G418" s="12"/>
      <c r="H418" s="12"/>
      <c r="I418" s="12"/>
      <c r="J418" s="12"/>
    </row>
    <row r="419" spans="4:10">
      <c r="D419" s="12"/>
      <c r="E419" s="12"/>
      <c r="F419" s="12"/>
      <c r="G419" s="12"/>
      <c r="H419" s="12"/>
      <c r="I419" s="12"/>
      <c r="J419" s="12"/>
    </row>
    <row r="420" spans="4:10">
      <c r="D420" s="12"/>
      <c r="E420" s="12"/>
      <c r="F420" s="12"/>
      <c r="G420" s="12"/>
      <c r="H420" s="12"/>
      <c r="I420" s="12"/>
      <c r="J420" s="12"/>
    </row>
    <row r="421" spans="4:10">
      <c r="D421" s="12"/>
      <c r="E421" s="12"/>
      <c r="F421" s="12"/>
      <c r="G421" s="12"/>
      <c r="H421" s="12"/>
      <c r="I421" s="12"/>
      <c r="J421" s="12"/>
    </row>
    <row r="422" spans="4:10">
      <c r="D422" s="12"/>
      <c r="E422" s="12"/>
      <c r="F422" s="12"/>
      <c r="G422" s="12"/>
      <c r="H422" s="12"/>
      <c r="I422" s="12"/>
      <c r="J422" s="12"/>
    </row>
    <row r="423" spans="4:10">
      <c r="D423" s="12"/>
      <c r="E423" s="12"/>
      <c r="F423" s="12"/>
      <c r="G423" s="12"/>
      <c r="H423" s="12"/>
      <c r="I423" s="12"/>
      <c r="J423" s="12"/>
    </row>
    <row r="424" spans="4:10">
      <c r="D424" s="12"/>
      <c r="E424" s="12"/>
      <c r="F424" s="12"/>
      <c r="G424" s="12"/>
      <c r="H424" s="12"/>
      <c r="I424" s="12"/>
      <c r="J424" s="12"/>
    </row>
    <row r="425" spans="4:10">
      <c r="D425" s="12"/>
      <c r="E425" s="12"/>
      <c r="F425" s="12"/>
      <c r="G425" s="12"/>
      <c r="H425" s="12"/>
      <c r="I425" s="12"/>
      <c r="J425" s="12"/>
    </row>
    <row r="426" spans="4:10">
      <c r="D426" s="12"/>
      <c r="E426" s="12"/>
      <c r="F426" s="12"/>
      <c r="G426" s="12"/>
      <c r="H426" s="12"/>
      <c r="I426" s="12"/>
      <c r="J426" s="12"/>
    </row>
    <row r="427" spans="4:10">
      <c r="D427" s="12"/>
      <c r="E427" s="12"/>
      <c r="F427" s="12"/>
      <c r="G427" s="12"/>
      <c r="H427" s="12"/>
      <c r="I427" s="12"/>
      <c r="J427" s="12"/>
    </row>
    <row r="428" spans="4:10">
      <c r="D428" s="12"/>
      <c r="E428" s="12"/>
      <c r="F428" s="12"/>
      <c r="G428" s="12"/>
      <c r="H428" s="12"/>
      <c r="I428" s="12"/>
      <c r="J428" s="12"/>
    </row>
    <row r="429" spans="4:10">
      <c r="D429" s="12"/>
      <c r="E429" s="12"/>
      <c r="F429" s="12"/>
      <c r="G429" s="12"/>
      <c r="H429" s="12"/>
      <c r="I429" s="12"/>
      <c r="J429" s="12"/>
    </row>
    <row r="430" spans="4:10">
      <c r="D430" s="12"/>
      <c r="E430" s="12"/>
      <c r="F430" s="12"/>
      <c r="G430" s="12"/>
      <c r="H430" s="12"/>
      <c r="I430" s="12"/>
      <c r="J430" s="12"/>
    </row>
    <row r="431" spans="4:10">
      <c r="D431" s="12"/>
      <c r="E431" s="12"/>
      <c r="F431" s="12"/>
      <c r="G431" s="12"/>
      <c r="H431" s="12"/>
      <c r="I431" s="12"/>
      <c r="J431" s="12"/>
    </row>
    <row r="432" spans="4:10">
      <c r="D432" s="12"/>
      <c r="E432" s="12"/>
      <c r="F432" s="12"/>
      <c r="G432" s="12"/>
      <c r="H432" s="12"/>
      <c r="I432" s="12"/>
      <c r="J432" s="12"/>
    </row>
    <row r="433" spans="4:10">
      <c r="D433" s="12"/>
      <c r="E433" s="12"/>
      <c r="F433" s="12"/>
      <c r="G433" s="12"/>
      <c r="H433" s="12"/>
      <c r="I433" s="12"/>
      <c r="J433" s="12"/>
    </row>
    <row r="434" spans="4:10">
      <c r="D434" s="12"/>
      <c r="E434" s="12"/>
      <c r="F434" s="12"/>
      <c r="G434" s="12"/>
      <c r="H434" s="12"/>
      <c r="I434" s="12"/>
      <c r="J434" s="12"/>
    </row>
    <row r="435" spans="4:10">
      <c r="D435" s="12"/>
      <c r="E435" s="12"/>
      <c r="F435" s="12"/>
      <c r="G435" s="12"/>
      <c r="H435" s="12"/>
      <c r="I435" s="12"/>
      <c r="J435" s="12"/>
    </row>
    <row r="436" spans="4:10">
      <c r="D436" s="12"/>
      <c r="E436" s="12"/>
      <c r="F436" s="12"/>
      <c r="G436" s="12"/>
      <c r="H436" s="12"/>
      <c r="I436" s="12"/>
      <c r="J436" s="12"/>
    </row>
    <row r="437" spans="4:10">
      <c r="D437" s="12"/>
      <c r="E437" s="12"/>
      <c r="F437" s="12"/>
      <c r="G437" s="12"/>
      <c r="H437" s="12"/>
      <c r="I437" s="12"/>
      <c r="J437" s="12"/>
    </row>
    <row r="438" spans="4:10">
      <c r="D438" s="12"/>
      <c r="E438" s="12"/>
      <c r="F438" s="12"/>
      <c r="G438" s="12"/>
      <c r="H438" s="12"/>
      <c r="I438" s="12"/>
      <c r="J438" s="12"/>
    </row>
    <row r="439" spans="4:10">
      <c r="D439" s="12"/>
      <c r="E439" s="12"/>
      <c r="F439" s="12"/>
      <c r="G439" s="12"/>
      <c r="H439" s="12"/>
      <c r="I439" s="12"/>
      <c r="J439" s="12"/>
    </row>
    <row r="440" spans="4:10">
      <c r="D440" s="12"/>
      <c r="E440" s="12"/>
      <c r="F440" s="12"/>
      <c r="G440" s="12"/>
      <c r="H440" s="12"/>
      <c r="I440" s="12"/>
      <c r="J440" s="12"/>
    </row>
    <row r="441" spans="4:10">
      <c r="D441" s="12"/>
      <c r="E441" s="12"/>
      <c r="F441" s="12"/>
      <c r="G441" s="12"/>
      <c r="H441" s="12"/>
      <c r="I441" s="12"/>
      <c r="J441" s="12"/>
    </row>
    <row r="442" spans="4:10">
      <c r="D442" s="12"/>
      <c r="E442" s="12"/>
      <c r="F442" s="12"/>
      <c r="G442" s="12"/>
      <c r="H442" s="12"/>
      <c r="I442" s="12"/>
      <c r="J442" s="12"/>
    </row>
    <row r="443" spans="4:10">
      <c r="D443" s="12"/>
      <c r="E443" s="12"/>
      <c r="F443" s="12"/>
      <c r="G443" s="12"/>
      <c r="H443" s="12"/>
      <c r="I443" s="12"/>
      <c r="J443" s="12"/>
    </row>
    <row r="444" spans="4:10">
      <c r="D444" s="12"/>
      <c r="E444" s="12"/>
      <c r="F444" s="12"/>
      <c r="G444" s="12"/>
      <c r="H444" s="12"/>
      <c r="I444" s="12"/>
      <c r="J444" s="12"/>
    </row>
    <row r="445" spans="4:10">
      <c r="D445" s="12"/>
      <c r="E445" s="12"/>
      <c r="F445" s="12"/>
      <c r="G445" s="12"/>
      <c r="H445" s="12"/>
      <c r="I445" s="12"/>
      <c r="J445" s="12"/>
    </row>
    <row r="446" spans="4:10">
      <c r="D446" s="12"/>
      <c r="E446" s="12"/>
      <c r="F446" s="12"/>
      <c r="G446" s="12"/>
      <c r="H446" s="12"/>
      <c r="I446" s="12"/>
      <c r="J446" s="12"/>
    </row>
    <row r="447" spans="4:10">
      <c r="D447" s="12"/>
      <c r="E447" s="12"/>
      <c r="F447" s="12"/>
      <c r="G447" s="12"/>
      <c r="H447" s="12"/>
      <c r="I447" s="12"/>
      <c r="J447" s="12"/>
    </row>
    <row r="448" spans="4:10">
      <c r="D448" s="12"/>
      <c r="E448" s="12"/>
      <c r="F448" s="12"/>
      <c r="G448" s="12"/>
      <c r="H448" s="12"/>
      <c r="I448" s="12"/>
      <c r="J448" s="12"/>
    </row>
    <row r="449" spans="4:10">
      <c r="D449" s="12"/>
      <c r="E449" s="12"/>
      <c r="F449" s="12"/>
      <c r="G449" s="12"/>
      <c r="H449" s="12"/>
      <c r="I449" s="12"/>
      <c r="J449" s="12"/>
    </row>
    <row r="450" spans="4:10">
      <c r="D450" s="12"/>
      <c r="E450" s="12"/>
      <c r="F450" s="12"/>
      <c r="G450" s="12"/>
      <c r="H450" s="12"/>
      <c r="I450" s="12"/>
      <c r="J450" s="12"/>
    </row>
    <row r="451" spans="4:10">
      <c r="D451" s="12"/>
      <c r="E451" s="12"/>
      <c r="F451" s="12"/>
      <c r="G451" s="12"/>
      <c r="H451" s="12"/>
      <c r="I451" s="12"/>
      <c r="J451" s="12"/>
    </row>
    <row r="452" spans="4:10">
      <c r="D452" s="12"/>
      <c r="E452" s="12"/>
      <c r="F452" s="12"/>
      <c r="G452" s="12"/>
      <c r="H452" s="12"/>
      <c r="I452" s="12"/>
      <c r="J452" s="12"/>
    </row>
    <row r="453" spans="4:10">
      <c r="D453" s="12"/>
      <c r="E453" s="12"/>
      <c r="F453" s="12"/>
      <c r="G453" s="12"/>
      <c r="H453" s="12"/>
      <c r="I453" s="12"/>
      <c r="J453" s="12"/>
    </row>
    <row r="454" spans="4:10">
      <c r="D454" s="12"/>
      <c r="E454" s="12"/>
      <c r="F454" s="12"/>
      <c r="G454" s="12"/>
      <c r="H454" s="12"/>
      <c r="I454" s="12"/>
      <c r="J454" s="12"/>
    </row>
    <row r="455" spans="4:10">
      <c r="D455" s="12"/>
      <c r="E455" s="12"/>
      <c r="F455" s="12"/>
      <c r="G455" s="12"/>
      <c r="H455" s="12"/>
      <c r="I455" s="12"/>
      <c r="J455" s="12"/>
    </row>
    <row r="456" spans="4:10">
      <c r="D456" s="12"/>
      <c r="E456" s="12"/>
      <c r="F456" s="12"/>
      <c r="G456" s="12"/>
      <c r="H456" s="12"/>
      <c r="I456" s="12"/>
      <c r="J456" s="12"/>
    </row>
    <row r="457" spans="4:10">
      <c r="D457" s="12"/>
      <c r="E457" s="12"/>
      <c r="F457" s="12"/>
      <c r="G457" s="12"/>
      <c r="H457" s="12"/>
      <c r="I457" s="12"/>
      <c r="J457" s="12"/>
    </row>
    <row r="458" spans="4:10">
      <c r="D458" s="12"/>
      <c r="E458" s="12"/>
      <c r="F458" s="12"/>
      <c r="G458" s="12"/>
      <c r="H458" s="12"/>
      <c r="I458" s="12"/>
      <c r="J458" s="12"/>
    </row>
    <row r="459" spans="4:10">
      <c r="D459" s="12"/>
      <c r="E459" s="12"/>
      <c r="F459" s="12"/>
      <c r="G459" s="12"/>
      <c r="H459" s="12"/>
      <c r="I459" s="12"/>
      <c r="J459" s="12"/>
    </row>
    <row r="460" spans="4:10">
      <c r="D460" s="12"/>
      <c r="E460" s="12"/>
      <c r="F460" s="12"/>
      <c r="G460" s="12"/>
      <c r="H460" s="12"/>
      <c r="I460" s="12"/>
      <c r="J460" s="12"/>
    </row>
    <row r="461" spans="4:10">
      <c r="D461" s="12"/>
      <c r="E461" s="12"/>
      <c r="F461" s="12"/>
      <c r="G461" s="12"/>
      <c r="H461" s="12"/>
      <c r="I461" s="12"/>
      <c r="J461" s="12"/>
    </row>
    <row r="462" spans="4:10">
      <c r="D462" s="12"/>
      <c r="E462" s="12"/>
      <c r="F462" s="12"/>
      <c r="G462" s="12"/>
      <c r="H462" s="12"/>
      <c r="I462" s="12"/>
      <c r="J462" s="12"/>
    </row>
    <row r="463" spans="4:10">
      <c r="D463" s="12"/>
      <c r="E463" s="12"/>
      <c r="F463" s="12"/>
      <c r="G463" s="12"/>
      <c r="H463" s="12"/>
      <c r="I463" s="12"/>
      <c r="J463" s="12"/>
    </row>
    <row r="464" spans="4:10">
      <c r="D464" s="12"/>
      <c r="E464" s="12"/>
      <c r="F464" s="12"/>
      <c r="G464" s="12"/>
      <c r="H464" s="12"/>
      <c r="I464" s="12"/>
      <c r="J464" s="12"/>
    </row>
    <row r="465" spans="4:10">
      <c r="D465" s="12"/>
      <c r="E465" s="12"/>
      <c r="F465" s="12"/>
      <c r="G465" s="12"/>
      <c r="H465" s="12"/>
      <c r="I465" s="12"/>
      <c r="J465" s="12"/>
    </row>
    <row r="466" spans="4:10">
      <c r="D466" s="12"/>
      <c r="E466" s="12"/>
      <c r="F466" s="12"/>
      <c r="G466" s="12"/>
      <c r="H466" s="12"/>
      <c r="I466" s="12"/>
      <c r="J466" s="12"/>
    </row>
    <row r="467" spans="4:10">
      <c r="D467" s="12"/>
      <c r="E467" s="12"/>
      <c r="F467" s="12"/>
      <c r="G467" s="12"/>
      <c r="H467" s="12"/>
      <c r="I467" s="12"/>
      <c r="J467" s="12"/>
    </row>
    <row r="468" spans="4:10">
      <c r="D468" s="12"/>
      <c r="E468" s="12"/>
      <c r="F468" s="12"/>
      <c r="G468" s="12"/>
      <c r="H468" s="12"/>
      <c r="I468" s="12"/>
      <c r="J468" s="12"/>
    </row>
    <row r="469" spans="4:10">
      <c r="D469" s="12"/>
      <c r="E469" s="12"/>
      <c r="F469" s="12"/>
      <c r="G469" s="12"/>
      <c r="H469" s="12"/>
      <c r="I469" s="12"/>
      <c r="J469" s="12"/>
    </row>
    <row r="470" spans="4:10">
      <c r="D470" s="12"/>
      <c r="E470" s="12"/>
      <c r="F470" s="12"/>
      <c r="G470" s="12"/>
      <c r="H470" s="12"/>
      <c r="I470" s="12"/>
      <c r="J470" s="12"/>
    </row>
    <row r="471" spans="4:10">
      <c r="D471" s="12"/>
      <c r="E471" s="12"/>
      <c r="F471" s="12"/>
      <c r="G471" s="12"/>
      <c r="H471" s="12"/>
      <c r="I471" s="12"/>
      <c r="J471" s="12"/>
    </row>
    <row r="472" spans="4:10">
      <c r="D472" s="12"/>
      <c r="E472" s="12"/>
      <c r="F472" s="12"/>
      <c r="G472" s="12"/>
      <c r="H472" s="12"/>
      <c r="I472" s="12"/>
      <c r="J472" s="12"/>
    </row>
    <row r="473" spans="4:10">
      <c r="D473" s="12"/>
      <c r="E473" s="12"/>
      <c r="F473" s="12"/>
      <c r="G473" s="12"/>
      <c r="H473" s="12"/>
      <c r="I473" s="12"/>
      <c r="J473" s="12"/>
    </row>
    <row r="474" spans="4:10">
      <c r="D474" s="12"/>
      <c r="E474" s="12"/>
      <c r="F474" s="12"/>
      <c r="G474" s="12"/>
      <c r="H474" s="12"/>
      <c r="I474" s="12"/>
      <c r="J474" s="12"/>
    </row>
    <row r="475" spans="4:10">
      <c r="D475" s="12"/>
      <c r="E475" s="12"/>
      <c r="F475" s="12"/>
      <c r="G475" s="12"/>
      <c r="H475" s="12"/>
      <c r="I475" s="12"/>
      <c r="J475" s="12"/>
    </row>
    <row r="476" spans="4:10">
      <c r="D476" s="12"/>
      <c r="E476" s="12"/>
      <c r="F476" s="12"/>
      <c r="G476" s="12"/>
      <c r="H476" s="12"/>
      <c r="I476" s="12"/>
      <c r="J476" s="12"/>
    </row>
    <row r="477" spans="4:10">
      <c r="D477" s="12"/>
      <c r="E477" s="12"/>
      <c r="F477" s="12"/>
      <c r="G477" s="12"/>
      <c r="H477" s="12"/>
      <c r="I477" s="12"/>
      <c r="J477" s="12"/>
    </row>
    <row r="478" spans="4:10">
      <c r="D478" s="12"/>
      <c r="E478" s="12"/>
      <c r="F478" s="12"/>
      <c r="G478" s="12"/>
      <c r="H478" s="12"/>
      <c r="I478" s="12"/>
      <c r="J478" s="12"/>
    </row>
    <row r="479" spans="4:10">
      <c r="D479" s="12"/>
      <c r="E479" s="12"/>
      <c r="F479" s="12"/>
      <c r="G479" s="12"/>
      <c r="H479" s="12"/>
      <c r="I479" s="12"/>
      <c r="J479" s="12"/>
    </row>
    <row r="480" spans="4:10">
      <c r="D480" s="12"/>
      <c r="E480" s="12"/>
      <c r="F480" s="12"/>
      <c r="G480" s="12"/>
      <c r="H480" s="12"/>
      <c r="I480" s="12"/>
      <c r="J480" s="12"/>
    </row>
    <row r="481" spans="4:10">
      <c r="D481" s="12"/>
      <c r="E481" s="12"/>
      <c r="F481" s="12"/>
      <c r="G481" s="12"/>
      <c r="H481" s="12"/>
      <c r="I481" s="12"/>
      <c r="J481" s="12"/>
    </row>
    <row r="482" spans="4:10">
      <c r="D482" s="12"/>
      <c r="E482" s="12"/>
      <c r="F482" s="12"/>
      <c r="G482" s="12"/>
      <c r="H482" s="12"/>
      <c r="I482" s="12"/>
      <c r="J482" s="12"/>
    </row>
    <row r="483" spans="4:10">
      <c r="D483" s="12"/>
      <c r="E483" s="12"/>
      <c r="F483" s="12"/>
      <c r="G483" s="12"/>
      <c r="H483" s="12"/>
      <c r="I483" s="12"/>
      <c r="J483" s="12"/>
    </row>
    <row r="484" spans="4:10">
      <c r="D484" s="12"/>
      <c r="E484" s="12"/>
      <c r="F484" s="12"/>
      <c r="G484" s="12"/>
      <c r="H484" s="12"/>
      <c r="I484" s="12"/>
      <c r="J484" s="12"/>
    </row>
    <row r="485" spans="4:10">
      <c r="D485" s="12"/>
      <c r="E485" s="12"/>
      <c r="F485" s="12"/>
      <c r="G485" s="12"/>
      <c r="H485" s="12"/>
      <c r="I485" s="12"/>
      <c r="J485" s="12"/>
    </row>
    <row r="486" spans="4:10">
      <c r="D486" s="12"/>
      <c r="E486" s="12"/>
      <c r="F486" s="12"/>
      <c r="G486" s="12"/>
      <c r="H486" s="12"/>
      <c r="I486" s="12"/>
      <c r="J486" s="12"/>
    </row>
    <row r="487" spans="4:10">
      <c r="D487" s="12"/>
      <c r="E487" s="12"/>
      <c r="F487" s="12"/>
      <c r="G487" s="12"/>
      <c r="H487" s="12"/>
      <c r="I487" s="12"/>
      <c r="J487" s="12"/>
    </row>
    <row r="488" spans="4:10">
      <c r="D488" s="12"/>
      <c r="E488" s="12"/>
      <c r="F488" s="12"/>
      <c r="G488" s="12"/>
      <c r="H488" s="12"/>
      <c r="I488" s="12"/>
      <c r="J488" s="12"/>
    </row>
    <row r="489" spans="4:10">
      <c r="D489" s="12"/>
      <c r="E489" s="12"/>
      <c r="F489" s="12"/>
      <c r="G489" s="12"/>
      <c r="H489" s="12"/>
      <c r="I489" s="12"/>
      <c r="J489" s="12"/>
    </row>
    <row r="490" spans="4:10">
      <c r="D490" s="12"/>
      <c r="E490" s="12"/>
      <c r="F490" s="12"/>
      <c r="G490" s="12"/>
      <c r="H490" s="12"/>
      <c r="I490" s="12"/>
      <c r="J490" s="12"/>
    </row>
    <row r="491" spans="4:10">
      <c r="D491" s="12"/>
      <c r="E491" s="12"/>
      <c r="F491" s="12"/>
      <c r="G491" s="12"/>
      <c r="H491" s="12"/>
      <c r="I491" s="12"/>
      <c r="J491" s="12"/>
    </row>
    <row r="492" spans="4:10">
      <c r="D492" s="12"/>
      <c r="E492" s="12"/>
      <c r="F492" s="12"/>
      <c r="G492" s="12"/>
      <c r="H492" s="12"/>
      <c r="I492" s="12"/>
      <c r="J492" s="12"/>
    </row>
    <row r="493" spans="4:10">
      <c r="D493" s="12"/>
      <c r="E493" s="12"/>
      <c r="F493" s="12"/>
      <c r="G493" s="12"/>
      <c r="H493" s="12"/>
      <c r="I493" s="12"/>
      <c r="J493" s="12"/>
    </row>
    <row r="494" spans="4:10">
      <c r="D494" s="12"/>
      <c r="E494" s="12"/>
      <c r="F494" s="12"/>
      <c r="G494" s="12"/>
      <c r="H494" s="12"/>
      <c r="I494" s="12"/>
      <c r="J494" s="12"/>
    </row>
    <row r="495" spans="4:10">
      <c r="D495" s="12"/>
      <c r="E495" s="12"/>
      <c r="F495" s="12"/>
      <c r="G495" s="12"/>
      <c r="H495" s="12"/>
      <c r="I495" s="12"/>
      <c r="J495" s="12"/>
    </row>
    <row r="496" spans="4:10">
      <c r="D496" s="12"/>
      <c r="E496" s="12"/>
      <c r="F496" s="12"/>
      <c r="G496" s="12"/>
      <c r="H496" s="12"/>
      <c r="I496" s="12"/>
      <c r="J496" s="12"/>
    </row>
    <row r="497" spans="4:10">
      <c r="D497" s="12"/>
      <c r="E497" s="12"/>
      <c r="F497" s="12"/>
      <c r="G497" s="12"/>
      <c r="H497" s="12"/>
      <c r="I497" s="12"/>
      <c r="J497" s="12"/>
    </row>
    <row r="498" spans="4:10">
      <c r="D498" s="12"/>
      <c r="E498" s="12"/>
      <c r="F498" s="12"/>
      <c r="G498" s="12"/>
      <c r="H498" s="12"/>
      <c r="I498" s="12"/>
      <c r="J498" s="12"/>
    </row>
    <row r="499" spans="4:10">
      <c r="D499" s="12"/>
      <c r="E499" s="12"/>
      <c r="F499" s="12"/>
      <c r="G499" s="12"/>
      <c r="H499" s="12"/>
      <c r="I499" s="12"/>
      <c r="J499" s="12"/>
    </row>
    <row r="500" spans="4:10">
      <c r="D500" s="12"/>
      <c r="E500" s="12"/>
      <c r="F500" s="12"/>
      <c r="G500" s="12"/>
      <c r="H500" s="12"/>
      <c r="I500" s="12"/>
      <c r="J500" s="12"/>
    </row>
    <row r="501" spans="4:10">
      <c r="D501" s="12"/>
      <c r="E501" s="12"/>
      <c r="F501" s="12"/>
      <c r="G501" s="12"/>
      <c r="H501" s="12"/>
      <c r="I501" s="12"/>
      <c r="J501" s="12"/>
    </row>
    <row r="502" spans="4:10">
      <c r="D502" s="12"/>
      <c r="E502" s="12"/>
      <c r="F502" s="12"/>
      <c r="G502" s="12"/>
      <c r="H502" s="12"/>
      <c r="I502" s="12"/>
      <c r="J502" s="12"/>
    </row>
    <row r="503" spans="4:10">
      <c r="D503" s="12"/>
      <c r="E503" s="12"/>
      <c r="F503" s="12"/>
      <c r="G503" s="12"/>
      <c r="H503" s="12"/>
      <c r="I503" s="12"/>
      <c r="J503" s="12"/>
    </row>
    <row r="504" spans="4:10">
      <c r="D504" s="12"/>
      <c r="E504" s="12"/>
      <c r="F504" s="12"/>
      <c r="G504" s="12"/>
      <c r="H504" s="12"/>
      <c r="I504" s="12"/>
      <c r="J504" s="12"/>
    </row>
    <row r="505" spans="4:10">
      <c r="D505" s="12"/>
      <c r="E505" s="12"/>
      <c r="F505" s="12"/>
      <c r="G505" s="12"/>
      <c r="H505" s="12"/>
      <c r="I505" s="12"/>
      <c r="J505" s="12"/>
    </row>
    <row r="506" spans="4:10">
      <c r="D506" s="12"/>
      <c r="E506" s="12"/>
      <c r="F506" s="12"/>
      <c r="G506" s="12"/>
      <c r="H506" s="12"/>
      <c r="I506" s="12"/>
      <c r="J506" s="12"/>
    </row>
    <row r="507" spans="4:10">
      <c r="D507" s="12"/>
      <c r="E507" s="12"/>
      <c r="F507" s="12"/>
      <c r="G507" s="12"/>
      <c r="H507" s="12"/>
      <c r="I507" s="12"/>
      <c r="J507" s="12"/>
    </row>
    <row r="508" spans="4:10">
      <c r="D508" s="12"/>
      <c r="E508" s="12"/>
      <c r="F508" s="12"/>
      <c r="G508" s="12"/>
      <c r="H508" s="12"/>
      <c r="I508" s="12"/>
      <c r="J508" s="12"/>
    </row>
    <row r="509" spans="4:10">
      <c r="D509" s="12"/>
      <c r="E509" s="12"/>
      <c r="F509" s="12"/>
      <c r="G509" s="12"/>
      <c r="H509" s="12"/>
      <c r="I509" s="12"/>
      <c r="J509" s="12"/>
    </row>
    <row r="510" spans="4:10">
      <c r="D510" s="12"/>
      <c r="E510" s="12"/>
      <c r="F510" s="12"/>
      <c r="G510" s="12"/>
      <c r="H510" s="12"/>
      <c r="I510" s="12"/>
      <c r="J510" s="12"/>
    </row>
    <row r="511" spans="4:10">
      <c r="D511" s="12"/>
      <c r="E511" s="12"/>
      <c r="F511" s="12"/>
      <c r="G511" s="12"/>
      <c r="H511" s="12"/>
      <c r="I511" s="12"/>
      <c r="J511" s="12"/>
    </row>
    <row r="512" spans="4:10">
      <c r="D512" s="12"/>
      <c r="E512" s="12"/>
      <c r="F512" s="12"/>
      <c r="G512" s="12"/>
      <c r="H512" s="12"/>
      <c r="I512" s="12"/>
      <c r="J512" s="12"/>
    </row>
    <row r="513" spans="4:10">
      <c r="D513" s="12"/>
      <c r="E513" s="12"/>
      <c r="F513" s="12"/>
      <c r="G513" s="12"/>
      <c r="H513" s="12"/>
      <c r="I513" s="12"/>
      <c r="J513" s="12"/>
    </row>
    <row r="514" spans="4:10">
      <c r="D514" s="12"/>
      <c r="E514" s="12"/>
      <c r="F514" s="12"/>
      <c r="G514" s="12"/>
      <c r="H514" s="12"/>
      <c r="I514" s="12"/>
      <c r="J514" s="12"/>
    </row>
    <row r="515" spans="4:10">
      <c r="D515" s="12"/>
      <c r="E515" s="12"/>
      <c r="F515" s="12"/>
      <c r="G515" s="12"/>
      <c r="H515" s="12"/>
      <c r="I515" s="12"/>
      <c r="J515" s="12"/>
    </row>
    <row r="516" spans="4:10">
      <c r="D516" s="12"/>
      <c r="E516" s="12"/>
      <c r="F516" s="12"/>
      <c r="G516" s="12"/>
      <c r="H516" s="12"/>
      <c r="I516" s="12"/>
      <c r="J516" s="12"/>
    </row>
    <row r="517" spans="4:10">
      <c r="D517" s="12"/>
      <c r="E517" s="12"/>
      <c r="F517" s="12"/>
      <c r="G517" s="12"/>
      <c r="H517" s="12"/>
      <c r="I517" s="12"/>
      <c r="J517" s="12"/>
    </row>
    <row r="518" spans="4:10">
      <c r="D518" s="12"/>
      <c r="E518" s="12"/>
      <c r="F518" s="12"/>
      <c r="G518" s="12"/>
      <c r="H518" s="12"/>
      <c r="I518" s="12"/>
      <c r="J518" s="12"/>
    </row>
    <row r="519" spans="4:10">
      <c r="D519" s="12"/>
      <c r="E519" s="12"/>
      <c r="F519" s="12"/>
      <c r="G519" s="12"/>
      <c r="H519" s="12"/>
      <c r="I519" s="12"/>
      <c r="J519" s="12"/>
    </row>
    <row r="520" spans="4:10">
      <c r="D520" s="12"/>
      <c r="E520" s="12"/>
      <c r="F520" s="12"/>
      <c r="G520" s="12"/>
      <c r="H520" s="12"/>
      <c r="I520" s="12"/>
      <c r="J520" s="12"/>
    </row>
    <row r="521" spans="4:10">
      <c r="D521" s="12"/>
      <c r="E521" s="12"/>
      <c r="F521" s="12"/>
      <c r="G521" s="12"/>
      <c r="H521" s="12"/>
      <c r="I521" s="12"/>
      <c r="J521" s="12"/>
    </row>
    <row r="522" spans="4:10">
      <c r="D522" s="12"/>
      <c r="E522" s="12"/>
      <c r="F522" s="12"/>
      <c r="G522" s="12"/>
      <c r="H522" s="12"/>
      <c r="I522" s="12"/>
      <c r="J522" s="12"/>
    </row>
    <row r="523" spans="4:10">
      <c r="D523" s="12"/>
      <c r="E523" s="12"/>
      <c r="F523" s="12"/>
      <c r="G523" s="12"/>
      <c r="H523" s="12"/>
      <c r="I523" s="12"/>
      <c r="J523" s="12"/>
    </row>
    <row r="524" spans="4:10">
      <c r="D524" s="12"/>
      <c r="E524" s="12"/>
      <c r="F524" s="12"/>
      <c r="G524" s="12"/>
      <c r="H524" s="12"/>
      <c r="I524" s="12"/>
      <c r="J524" s="12"/>
    </row>
    <row r="525" spans="4:10">
      <c r="D525" s="12"/>
      <c r="E525" s="12"/>
      <c r="F525" s="12"/>
      <c r="G525" s="12"/>
      <c r="H525" s="12"/>
      <c r="I525" s="12"/>
      <c r="J525" s="12"/>
    </row>
    <row r="526" spans="4:10">
      <c r="D526" s="12"/>
      <c r="E526" s="12"/>
      <c r="F526" s="12"/>
      <c r="G526" s="12"/>
      <c r="H526" s="12"/>
      <c r="I526" s="12"/>
      <c r="J526" s="12"/>
    </row>
    <row r="527" spans="4:10">
      <c r="D527" s="12"/>
      <c r="E527" s="12"/>
      <c r="F527" s="12"/>
      <c r="G527" s="12"/>
      <c r="H527" s="12"/>
      <c r="I527" s="12"/>
      <c r="J527" s="12"/>
    </row>
    <row r="528" spans="4:10">
      <c r="D528" s="12"/>
      <c r="E528" s="12"/>
      <c r="F528" s="12"/>
      <c r="G528" s="12"/>
      <c r="H528" s="12"/>
      <c r="I528" s="12"/>
      <c r="J528" s="12"/>
    </row>
    <row r="529" spans="4:10">
      <c r="D529" s="12"/>
      <c r="E529" s="12"/>
      <c r="F529" s="12"/>
      <c r="G529" s="12"/>
      <c r="H529" s="12"/>
      <c r="I529" s="12"/>
      <c r="J529" s="12"/>
    </row>
    <row r="530" spans="4:10">
      <c r="D530" s="12"/>
      <c r="E530" s="12"/>
      <c r="F530" s="12"/>
      <c r="G530" s="12"/>
      <c r="H530" s="12"/>
      <c r="I530" s="12"/>
      <c r="J530" s="12"/>
    </row>
    <row r="531" spans="4:10">
      <c r="D531" s="12"/>
      <c r="E531" s="12"/>
      <c r="F531" s="12"/>
      <c r="G531" s="12"/>
      <c r="H531" s="12"/>
      <c r="I531" s="12"/>
      <c r="J531" s="12"/>
    </row>
    <row r="532" spans="4:10">
      <c r="D532" s="12"/>
      <c r="E532" s="12"/>
      <c r="F532" s="12"/>
      <c r="G532" s="12"/>
      <c r="H532" s="12"/>
      <c r="I532" s="12"/>
      <c r="J532" s="12"/>
    </row>
    <row r="533" spans="4:10">
      <c r="D533" s="12"/>
      <c r="E533" s="12"/>
      <c r="F533" s="12"/>
      <c r="G533" s="12"/>
      <c r="H533" s="12"/>
      <c r="I533" s="12"/>
      <c r="J533" s="12"/>
    </row>
    <row r="534" spans="4:10">
      <c r="D534" s="12"/>
      <c r="E534" s="12"/>
      <c r="F534" s="12"/>
      <c r="G534" s="12"/>
      <c r="H534" s="12"/>
      <c r="I534" s="12"/>
      <c r="J534" s="12"/>
    </row>
    <row r="535" spans="4:10">
      <c r="D535" s="12"/>
      <c r="E535" s="12"/>
      <c r="F535" s="12"/>
      <c r="G535" s="12"/>
      <c r="H535" s="12"/>
      <c r="I535" s="12"/>
      <c r="J535" s="12"/>
    </row>
    <row r="536" spans="4:10">
      <c r="D536" s="12"/>
      <c r="E536" s="12"/>
      <c r="F536" s="12"/>
      <c r="G536" s="12"/>
      <c r="H536" s="12"/>
      <c r="I536" s="12"/>
      <c r="J536" s="12"/>
    </row>
    <row r="537" spans="4:10">
      <c r="D537" s="12"/>
      <c r="E537" s="12"/>
      <c r="F537" s="12"/>
      <c r="G537" s="12"/>
      <c r="H537" s="12"/>
      <c r="I537" s="12"/>
      <c r="J537" s="12"/>
    </row>
    <row r="538" spans="4:10">
      <c r="D538" s="12"/>
      <c r="E538" s="12"/>
      <c r="F538" s="12"/>
      <c r="G538" s="12"/>
      <c r="H538" s="12"/>
      <c r="I538" s="12"/>
      <c r="J538" s="12"/>
    </row>
    <row r="539" spans="4:10">
      <c r="D539" s="12"/>
      <c r="E539" s="12"/>
      <c r="F539" s="12"/>
      <c r="G539" s="12"/>
      <c r="H539" s="12"/>
      <c r="I539" s="12"/>
      <c r="J539" s="12"/>
    </row>
    <row r="540" spans="4:10">
      <c r="D540" s="12"/>
      <c r="E540" s="12"/>
      <c r="F540" s="12"/>
      <c r="G540" s="12"/>
      <c r="H540" s="12"/>
      <c r="I540" s="12"/>
      <c r="J540" s="12"/>
    </row>
    <row r="541" spans="4:10">
      <c r="D541" s="12"/>
      <c r="E541" s="12"/>
      <c r="F541" s="12"/>
      <c r="G541" s="12"/>
      <c r="H541" s="12"/>
      <c r="I541" s="12"/>
      <c r="J541" s="12"/>
    </row>
    <row r="542" spans="4:10">
      <c r="D542" s="12"/>
      <c r="E542" s="12"/>
      <c r="F542" s="12"/>
      <c r="G542" s="12"/>
      <c r="H542" s="12"/>
      <c r="I542" s="12"/>
      <c r="J542" s="12"/>
    </row>
    <row r="543" spans="4:10">
      <c r="D543" s="12"/>
      <c r="E543" s="12"/>
      <c r="F543" s="12"/>
      <c r="G543" s="12"/>
      <c r="H543" s="12"/>
      <c r="I543" s="12"/>
      <c r="J543" s="12"/>
    </row>
    <row r="544" spans="4:10">
      <c r="D544" s="12"/>
      <c r="E544" s="12"/>
      <c r="F544" s="12"/>
      <c r="G544" s="12"/>
      <c r="H544" s="12"/>
      <c r="I544" s="12"/>
      <c r="J544" s="12"/>
    </row>
    <row r="545" spans="4:10">
      <c r="D545" s="12"/>
      <c r="E545" s="12"/>
      <c r="F545" s="12"/>
      <c r="G545" s="12"/>
      <c r="H545" s="12"/>
      <c r="I545" s="12"/>
      <c r="J545" s="12"/>
    </row>
    <row r="546" spans="4:10">
      <c r="D546" s="12"/>
      <c r="E546" s="12"/>
      <c r="F546" s="12"/>
      <c r="G546" s="12"/>
      <c r="H546" s="12"/>
      <c r="I546" s="12"/>
      <c r="J546" s="12"/>
    </row>
    <row r="547" spans="4:10">
      <c r="D547" s="12"/>
      <c r="E547" s="12"/>
      <c r="F547" s="12"/>
      <c r="G547" s="12"/>
      <c r="H547" s="12"/>
      <c r="I547" s="12"/>
      <c r="J547" s="12"/>
    </row>
    <row r="548" spans="4:10">
      <c r="D548" s="12"/>
      <c r="E548" s="12"/>
      <c r="F548" s="12"/>
      <c r="G548" s="12"/>
      <c r="H548" s="12"/>
      <c r="I548" s="12"/>
      <c r="J548" s="12"/>
    </row>
    <row r="549" spans="4:10">
      <c r="D549" s="12"/>
      <c r="E549" s="12"/>
      <c r="F549" s="12"/>
      <c r="G549" s="12"/>
      <c r="H549" s="12"/>
      <c r="I549" s="12"/>
      <c r="J549" s="12"/>
    </row>
    <row r="550" spans="4:10">
      <c r="D550" s="12"/>
      <c r="E550" s="12"/>
      <c r="F550" s="12"/>
      <c r="G550" s="12"/>
      <c r="H550" s="12"/>
      <c r="I550" s="12"/>
      <c r="J550" s="12"/>
    </row>
    <row r="551" spans="4:10">
      <c r="D551" s="12"/>
      <c r="E551" s="12"/>
      <c r="F551" s="12"/>
      <c r="G551" s="12"/>
      <c r="H551" s="12"/>
      <c r="I551" s="12"/>
      <c r="J551" s="12"/>
    </row>
    <row r="552" spans="4:10">
      <c r="D552" s="12"/>
      <c r="E552" s="12"/>
      <c r="F552" s="12"/>
      <c r="G552" s="12"/>
      <c r="H552" s="12"/>
      <c r="I552" s="12"/>
      <c r="J552" s="12"/>
    </row>
    <row r="553" spans="4:10">
      <c r="D553" s="12"/>
      <c r="E553" s="12"/>
      <c r="F553" s="12"/>
      <c r="G553" s="12"/>
      <c r="H553" s="12"/>
      <c r="I553" s="12"/>
      <c r="J553" s="12"/>
    </row>
    <row r="554" spans="4:10">
      <c r="D554" s="12"/>
      <c r="E554" s="12"/>
      <c r="F554" s="12"/>
      <c r="G554" s="12"/>
      <c r="H554" s="12"/>
      <c r="I554" s="12"/>
      <c r="J554" s="12"/>
    </row>
    <row r="555" spans="4:10">
      <c r="D555" s="12"/>
      <c r="E555" s="12"/>
      <c r="F555" s="12"/>
      <c r="G555" s="12"/>
      <c r="H555" s="12"/>
      <c r="I555" s="12"/>
      <c r="J555" s="12"/>
    </row>
    <row r="556" spans="4:10">
      <c r="D556" s="12"/>
      <c r="E556" s="12"/>
      <c r="F556" s="12"/>
      <c r="G556" s="12"/>
      <c r="H556" s="12"/>
      <c r="I556" s="12"/>
      <c r="J556" s="12"/>
    </row>
    <row r="557" spans="4:10">
      <c r="D557" s="12"/>
      <c r="E557" s="12"/>
      <c r="F557" s="12"/>
      <c r="G557" s="12"/>
      <c r="H557" s="12"/>
      <c r="I557" s="12"/>
      <c r="J557" s="12"/>
    </row>
    <row r="558" spans="4:10">
      <c r="D558" s="12"/>
      <c r="E558" s="12"/>
      <c r="F558" s="12"/>
      <c r="G558" s="12"/>
      <c r="H558" s="12"/>
      <c r="I558" s="12"/>
      <c r="J558" s="12"/>
    </row>
    <row r="559" spans="4:10">
      <c r="D559" s="12"/>
      <c r="E559" s="12"/>
      <c r="F559" s="12"/>
      <c r="G559" s="12"/>
      <c r="H559" s="12"/>
      <c r="I559" s="12"/>
      <c r="J559" s="12"/>
    </row>
    <row r="560" spans="4:10">
      <c r="D560" s="12"/>
      <c r="E560" s="12"/>
      <c r="F560" s="12"/>
      <c r="G560" s="12"/>
      <c r="H560" s="12"/>
      <c r="I560" s="12"/>
      <c r="J560" s="12"/>
    </row>
    <row r="561" spans="4:10">
      <c r="D561" s="12"/>
      <c r="E561" s="12"/>
      <c r="F561" s="12"/>
      <c r="G561" s="12"/>
      <c r="H561" s="12"/>
      <c r="I561" s="12"/>
      <c r="J561" s="12"/>
    </row>
    <row r="562" spans="4:10">
      <c r="D562" s="12"/>
      <c r="E562" s="12"/>
      <c r="F562" s="12"/>
      <c r="G562" s="12"/>
      <c r="H562" s="12"/>
      <c r="I562" s="12"/>
      <c r="J562" s="12"/>
    </row>
    <row r="563" spans="4:10">
      <c r="D563" s="12"/>
      <c r="E563" s="12"/>
      <c r="F563" s="12"/>
      <c r="G563" s="12"/>
      <c r="H563" s="12"/>
      <c r="I563" s="12"/>
      <c r="J563" s="12"/>
    </row>
    <row r="564" spans="4:10">
      <c r="D564" s="12"/>
      <c r="E564" s="12"/>
      <c r="F564" s="12"/>
      <c r="G564" s="12"/>
      <c r="H564" s="12"/>
      <c r="I564" s="12"/>
      <c r="J564" s="12"/>
    </row>
    <row r="565" spans="4:10">
      <c r="D565" s="12"/>
      <c r="E565" s="12"/>
      <c r="F565" s="12"/>
      <c r="G565" s="12"/>
      <c r="H565" s="12"/>
      <c r="I565" s="12"/>
      <c r="J565" s="12"/>
    </row>
    <row r="566" spans="4:10">
      <c r="D566" s="12"/>
      <c r="E566" s="12"/>
      <c r="F566" s="12"/>
      <c r="G566" s="12"/>
      <c r="H566" s="12"/>
      <c r="I566" s="12"/>
      <c r="J566" s="12"/>
    </row>
    <row r="567" spans="4:10">
      <c r="D567" s="12"/>
      <c r="E567" s="12"/>
      <c r="F567" s="12"/>
      <c r="G567" s="12"/>
      <c r="H567" s="12"/>
      <c r="I567" s="12"/>
      <c r="J567" s="12"/>
    </row>
    <row r="568" spans="4:10">
      <c r="D568" s="12"/>
      <c r="E568" s="12"/>
      <c r="F568" s="12"/>
      <c r="G568" s="12"/>
      <c r="H568" s="12"/>
      <c r="I568" s="12"/>
      <c r="J568" s="12"/>
    </row>
    <row r="569" spans="4:10">
      <c r="D569" s="12"/>
      <c r="E569" s="12"/>
      <c r="F569" s="12"/>
      <c r="G569" s="12"/>
      <c r="H569" s="12"/>
      <c r="I569" s="12"/>
      <c r="J569" s="12"/>
    </row>
    <row r="570" spans="4:10">
      <c r="D570" s="12"/>
      <c r="E570" s="12"/>
      <c r="F570" s="12"/>
      <c r="G570" s="12"/>
      <c r="H570" s="12"/>
      <c r="I570" s="12"/>
      <c r="J570" s="12"/>
    </row>
    <row r="571" spans="4:10">
      <c r="D571" s="12"/>
      <c r="E571" s="12"/>
      <c r="F571" s="12"/>
      <c r="G571" s="12"/>
      <c r="H571" s="12"/>
      <c r="I571" s="12"/>
      <c r="J571" s="12"/>
    </row>
    <row r="572" spans="4:10">
      <c r="D572" s="12"/>
      <c r="E572" s="12"/>
      <c r="F572" s="12"/>
      <c r="G572" s="12"/>
      <c r="H572" s="12"/>
      <c r="I572" s="12"/>
      <c r="J572" s="12"/>
    </row>
    <row r="573" spans="4:10">
      <c r="D573" s="12"/>
      <c r="E573" s="12"/>
      <c r="F573" s="12"/>
      <c r="G573" s="12"/>
      <c r="H573" s="12"/>
      <c r="I573" s="12"/>
      <c r="J573" s="12"/>
    </row>
    <row r="574" spans="4:10">
      <c r="D574" s="12"/>
      <c r="E574" s="12"/>
      <c r="F574" s="12"/>
      <c r="G574" s="12"/>
      <c r="H574" s="12"/>
      <c r="I574" s="12"/>
      <c r="J574" s="12"/>
    </row>
    <row r="575" spans="4:10">
      <c r="D575" s="12"/>
      <c r="E575" s="12"/>
      <c r="F575" s="12"/>
      <c r="G575" s="12"/>
      <c r="H575" s="12"/>
      <c r="I575" s="12"/>
      <c r="J575" s="12"/>
    </row>
    <row r="576" spans="4:10">
      <c r="D576" s="12"/>
      <c r="E576" s="12"/>
      <c r="F576" s="12"/>
      <c r="G576" s="12"/>
      <c r="H576" s="12"/>
      <c r="I576" s="12"/>
      <c r="J576" s="12"/>
    </row>
    <row r="577" spans="4:10">
      <c r="D577" s="12"/>
      <c r="E577" s="12"/>
      <c r="F577" s="12"/>
      <c r="G577" s="12"/>
      <c r="H577" s="12"/>
      <c r="I577" s="12"/>
      <c r="J577" s="12"/>
    </row>
    <row r="578" spans="4:10">
      <c r="D578" s="12"/>
      <c r="E578" s="12"/>
      <c r="F578" s="12"/>
      <c r="G578" s="12"/>
      <c r="H578" s="12"/>
      <c r="I578" s="12"/>
      <c r="J578" s="12"/>
    </row>
    <row r="579" spans="4:10">
      <c r="D579" s="12"/>
      <c r="E579" s="12"/>
      <c r="F579" s="12"/>
      <c r="G579" s="12"/>
      <c r="H579" s="12"/>
      <c r="I579" s="12"/>
      <c r="J579" s="12"/>
    </row>
    <row r="580" spans="4:10">
      <c r="D580" s="12"/>
      <c r="E580" s="12"/>
      <c r="F580" s="12"/>
      <c r="G580" s="12"/>
      <c r="H580" s="12"/>
      <c r="I580" s="12"/>
      <c r="J580" s="12"/>
    </row>
    <row r="581" spans="4:10">
      <c r="D581" s="12"/>
      <c r="E581" s="12"/>
      <c r="F581" s="12"/>
      <c r="G581" s="12"/>
      <c r="H581" s="12"/>
      <c r="I581" s="12"/>
      <c r="J581" s="12"/>
    </row>
    <row r="582" spans="4:10">
      <c r="D582" s="12"/>
      <c r="E582" s="12"/>
      <c r="F582" s="12"/>
      <c r="G582" s="12"/>
      <c r="H582" s="12"/>
      <c r="I582" s="12"/>
      <c r="J582" s="12"/>
    </row>
    <row r="583" spans="4:10">
      <c r="D583" s="12"/>
      <c r="E583" s="12"/>
      <c r="F583" s="12"/>
      <c r="G583" s="12"/>
      <c r="H583" s="12"/>
      <c r="I583" s="12"/>
      <c r="J583" s="12"/>
    </row>
    <row r="584" spans="4:10">
      <c r="D584" s="12"/>
      <c r="E584" s="12"/>
      <c r="F584" s="12"/>
      <c r="G584" s="12"/>
      <c r="H584" s="12"/>
      <c r="I584" s="12"/>
      <c r="J584" s="12"/>
    </row>
    <row r="585" spans="4:10">
      <c r="D585" s="12"/>
      <c r="E585" s="12"/>
      <c r="F585" s="12"/>
      <c r="G585" s="12"/>
      <c r="H585" s="12"/>
      <c r="I585" s="12"/>
      <c r="J585" s="12"/>
    </row>
    <row r="586" spans="4:10">
      <c r="D586" s="12"/>
      <c r="E586" s="12"/>
      <c r="F586" s="12"/>
      <c r="G586" s="12"/>
      <c r="H586" s="12"/>
      <c r="I586" s="12"/>
      <c r="J586" s="12"/>
    </row>
    <row r="587" spans="4:10">
      <c r="D587" s="12"/>
      <c r="E587" s="12"/>
      <c r="F587" s="12"/>
      <c r="G587" s="12"/>
      <c r="H587" s="12"/>
      <c r="I587" s="12"/>
      <c r="J587" s="12"/>
    </row>
    <row r="588" spans="4:10">
      <c r="D588" s="12"/>
      <c r="E588" s="12"/>
      <c r="F588" s="12"/>
      <c r="G588" s="12"/>
      <c r="H588" s="12"/>
      <c r="I588" s="12"/>
      <c r="J588" s="12"/>
    </row>
    <row r="589" spans="4:10">
      <c r="D589" s="12"/>
      <c r="E589" s="12"/>
      <c r="F589" s="12"/>
      <c r="G589" s="12"/>
      <c r="H589" s="12"/>
      <c r="I589" s="12"/>
      <c r="J589" s="12"/>
    </row>
    <row r="590" spans="4:10">
      <c r="D590" s="12"/>
      <c r="E590" s="12"/>
      <c r="F590" s="12"/>
      <c r="G590" s="12"/>
      <c r="H590" s="12"/>
      <c r="I590" s="12"/>
      <c r="J590" s="12"/>
    </row>
    <row r="591" spans="4:10">
      <c r="D591" s="12"/>
      <c r="E591" s="12"/>
      <c r="F591" s="12"/>
      <c r="G591" s="12"/>
      <c r="H591" s="12"/>
      <c r="I591" s="12"/>
      <c r="J591" s="12"/>
    </row>
    <row r="592" spans="4:10">
      <c r="D592" s="12"/>
      <c r="E592" s="12"/>
      <c r="F592" s="12"/>
      <c r="G592" s="12"/>
      <c r="H592" s="12"/>
      <c r="I592" s="12"/>
      <c r="J592" s="12"/>
    </row>
    <row r="593" spans="4:10">
      <c r="D593" s="12"/>
      <c r="E593" s="12"/>
      <c r="F593" s="12"/>
      <c r="G593" s="12"/>
      <c r="H593" s="12"/>
      <c r="I593" s="12"/>
      <c r="J593" s="12"/>
    </row>
    <row r="594" spans="4:10">
      <c r="D594" s="12"/>
      <c r="E594" s="12"/>
      <c r="F594" s="12"/>
      <c r="G594" s="12"/>
      <c r="H594" s="12"/>
      <c r="I594" s="12"/>
      <c r="J594" s="12"/>
    </row>
    <row r="595" spans="4:10">
      <c r="D595" s="12"/>
      <c r="E595" s="12"/>
      <c r="F595" s="12"/>
      <c r="G595" s="12"/>
      <c r="H595" s="12"/>
      <c r="I595" s="12"/>
      <c r="J595" s="12"/>
    </row>
    <row r="596" spans="4:10">
      <c r="D596" s="12"/>
      <c r="E596" s="12"/>
      <c r="F596" s="12"/>
      <c r="G596" s="12"/>
      <c r="H596" s="12"/>
      <c r="I596" s="12"/>
      <c r="J596" s="12"/>
    </row>
    <row r="597" spans="4:10">
      <c r="D597" s="12"/>
      <c r="E597" s="12"/>
      <c r="F597" s="12"/>
      <c r="G597" s="12"/>
      <c r="H597" s="12"/>
      <c r="I597" s="12"/>
      <c r="J597" s="12"/>
    </row>
    <row r="598" spans="4:10">
      <c r="D598" s="12"/>
      <c r="E598" s="12"/>
      <c r="F598" s="12"/>
      <c r="G598" s="12"/>
      <c r="H598" s="12"/>
      <c r="I598" s="12"/>
      <c r="J598" s="12"/>
    </row>
    <row r="599" spans="4:10">
      <c r="D599" s="12"/>
      <c r="E599" s="12"/>
      <c r="F599" s="12"/>
      <c r="G599" s="12"/>
      <c r="H599" s="12"/>
      <c r="I599" s="12"/>
      <c r="J599" s="12"/>
    </row>
    <row r="600" spans="4:10">
      <c r="D600" s="12"/>
      <c r="E600" s="12"/>
      <c r="F600" s="12"/>
      <c r="G600" s="12"/>
      <c r="H600" s="12"/>
      <c r="I600" s="12"/>
      <c r="J600" s="12"/>
    </row>
    <row r="601" spans="4:10">
      <c r="D601" s="12"/>
      <c r="E601" s="12"/>
      <c r="F601" s="12"/>
      <c r="G601" s="12"/>
      <c r="H601" s="12"/>
      <c r="I601" s="12"/>
      <c r="J601" s="12"/>
    </row>
    <row r="602" spans="4:10">
      <c r="D602" s="12"/>
      <c r="E602" s="12"/>
      <c r="F602" s="12"/>
      <c r="G602" s="12"/>
      <c r="H602" s="12"/>
      <c r="I602" s="12"/>
      <c r="J602" s="12"/>
    </row>
    <row r="603" spans="4:10">
      <c r="D603" s="12"/>
      <c r="E603" s="12"/>
      <c r="F603" s="12"/>
      <c r="G603" s="12"/>
      <c r="H603" s="12"/>
      <c r="I603" s="12"/>
      <c r="J603" s="12"/>
    </row>
    <row r="604" spans="4:10">
      <c r="D604" s="12"/>
      <c r="E604" s="12"/>
      <c r="F604" s="12"/>
      <c r="G604" s="12"/>
      <c r="H604" s="12"/>
      <c r="I604" s="12"/>
      <c r="J604" s="12"/>
    </row>
    <row r="605" spans="4:10">
      <c r="D605" s="12"/>
      <c r="E605" s="12"/>
      <c r="F605" s="12"/>
      <c r="G605" s="12"/>
      <c r="H605" s="12"/>
      <c r="I605" s="12"/>
      <c r="J605" s="12"/>
    </row>
    <row r="606" spans="4:10">
      <c r="D606" s="12"/>
      <c r="E606" s="12"/>
      <c r="F606" s="12"/>
      <c r="G606" s="12"/>
      <c r="H606" s="12"/>
      <c r="I606" s="12"/>
      <c r="J606" s="12"/>
    </row>
    <row r="607" spans="4:10">
      <c r="D607" s="12"/>
      <c r="E607" s="12"/>
      <c r="F607" s="12"/>
      <c r="G607" s="12"/>
      <c r="H607" s="12"/>
      <c r="I607" s="12"/>
      <c r="J607" s="12"/>
    </row>
    <row r="608" spans="4:10">
      <c r="D608" s="12"/>
      <c r="E608" s="12"/>
      <c r="F608" s="12"/>
      <c r="G608" s="12"/>
      <c r="H608" s="12"/>
      <c r="I608" s="12"/>
      <c r="J608" s="12"/>
    </row>
    <row r="609" spans="4:10">
      <c r="D609" s="12"/>
      <c r="E609" s="12"/>
      <c r="F609" s="12"/>
      <c r="G609" s="12"/>
      <c r="H609" s="12"/>
      <c r="I609" s="12"/>
      <c r="J609" s="12"/>
    </row>
    <row r="610" spans="4:10">
      <c r="D610" s="12"/>
      <c r="E610" s="12"/>
      <c r="F610" s="12"/>
      <c r="G610" s="12"/>
      <c r="H610" s="12"/>
      <c r="I610" s="12"/>
      <c r="J610" s="12"/>
    </row>
    <row r="611" spans="4:10">
      <c r="D611" s="12"/>
      <c r="E611" s="12"/>
      <c r="F611" s="12"/>
      <c r="G611" s="12"/>
      <c r="H611" s="12"/>
      <c r="I611" s="12"/>
      <c r="J611" s="12"/>
    </row>
    <row r="612" spans="4:10">
      <c r="D612" s="12"/>
      <c r="E612" s="12"/>
      <c r="F612" s="12"/>
      <c r="G612" s="12"/>
      <c r="H612" s="12"/>
      <c r="I612" s="12"/>
      <c r="J612" s="12"/>
    </row>
    <row r="613" spans="4:10">
      <c r="D613" s="12"/>
      <c r="E613" s="12"/>
      <c r="F613" s="12"/>
      <c r="G613" s="12"/>
      <c r="H613" s="12"/>
      <c r="I613" s="12"/>
      <c r="J613" s="12"/>
    </row>
    <row r="614" spans="4:10">
      <c r="D614" s="12"/>
      <c r="E614" s="12"/>
      <c r="F614" s="12"/>
      <c r="G614" s="12"/>
      <c r="H614" s="12"/>
      <c r="I614" s="12"/>
      <c r="J614" s="12"/>
    </row>
    <row r="615" spans="4:10">
      <c r="D615" s="12"/>
      <c r="E615" s="12"/>
      <c r="F615" s="12"/>
      <c r="G615" s="12"/>
      <c r="H615" s="12"/>
      <c r="I615" s="12"/>
      <c r="J615" s="12"/>
    </row>
    <row r="616" spans="4:10">
      <c r="D616" s="12"/>
      <c r="E616" s="12"/>
      <c r="F616" s="12"/>
      <c r="G616" s="12"/>
      <c r="H616" s="12"/>
      <c r="I616" s="12"/>
      <c r="J616" s="12"/>
    </row>
    <row r="617" spans="4:10">
      <c r="D617" s="12"/>
      <c r="E617" s="12"/>
      <c r="F617" s="12"/>
      <c r="G617" s="12"/>
      <c r="H617" s="12"/>
      <c r="I617" s="12"/>
      <c r="J617" s="12"/>
    </row>
    <row r="618" spans="4:10">
      <c r="D618" s="12"/>
      <c r="E618" s="12"/>
      <c r="F618" s="12"/>
      <c r="G618" s="12"/>
      <c r="H618" s="12"/>
      <c r="I618" s="12"/>
      <c r="J618" s="12"/>
    </row>
    <row r="619" spans="4:10">
      <c r="D619" s="12"/>
      <c r="E619" s="12"/>
      <c r="F619" s="12"/>
      <c r="G619" s="12"/>
      <c r="H619" s="12"/>
      <c r="I619" s="12"/>
      <c r="J619" s="12"/>
    </row>
    <row r="620" spans="4:10">
      <c r="D620" s="12"/>
      <c r="E620" s="12"/>
      <c r="F620" s="12"/>
      <c r="G620" s="12"/>
      <c r="H620" s="12"/>
      <c r="I620" s="12"/>
      <c r="J620" s="12"/>
    </row>
    <row r="621" spans="4:10">
      <c r="D621" s="12"/>
      <c r="E621" s="12"/>
      <c r="F621" s="12"/>
      <c r="G621" s="12"/>
      <c r="H621" s="12"/>
      <c r="I621" s="12"/>
      <c r="J621" s="12"/>
    </row>
    <row r="622" spans="4:10">
      <c r="D622" s="12"/>
      <c r="E622" s="12"/>
      <c r="F622" s="12"/>
      <c r="G622" s="12"/>
      <c r="H622" s="12"/>
      <c r="I622" s="12"/>
      <c r="J622" s="12"/>
    </row>
    <row r="623" spans="4:10">
      <c r="D623" s="12"/>
      <c r="E623" s="12"/>
      <c r="F623" s="12"/>
      <c r="G623" s="12"/>
      <c r="H623" s="12"/>
      <c r="I623" s="12"/>
      <c r="J623" s="12"/>
    </row>
    <row r="624" spans="4:10">
      <c r="D624" s="12"/>
      <c r="E624" s="12"/>
      <c r="F624" s="12"/>
      <c r="G624" s="12"/>
      <c r="H624" s="12"/>
      <c r="I624" s="12"/>
      <c r="J624" s="12"/>
    </row>
    <row r="625" spans="4:10">
      <c r="D625" s="12"/>
      <c r="E625" s="12"/>
      <c r="F625" s="12"/>
      <c r="G625" s="12"/>
      <c r="H625" s="12"/>
      <c r="I625" s="12"/>
      <c r="J625" s="12"/>
    </row>
    <row r="626" spans="4:10">
      <c r="D626" s="12"/>
      <c r="E626" s="12"/>
      <c r="F626" s="12"/>
      <c r="G626" s="12"/>
      <c r="H626" s="12"/>
      <c r="I626" s="12"/>
      <c r="J626" s="12"/>
    </row>
    <row r="627" spans="4:10">
      <c r="D627" s="12"/>
      <c r="E627" s="12"/>
      <c r="F627" s="12"/>
      <c r="G627" s="12"/>
      <c r="H627" s="12"/>
      <c r="I627" s="12"/>
      <c r="J627" s="12"/>
    </row>
    <row r="628" spans="4:10">
      <c r="D628" s="12"/>
      <c r="E628" s="12"/>
      <c r="F628" s="12"/>
      <c r="G628" s="12"/>
      <c r="H628" s="12"/>
      <c r="I628" s="12"/>
      <c r="J628" s="12"/>
    </row>
    <row r="629" spans="4:10">
      <c r="D629" s="12"/>
      <c r="E629" s="12"/>
      <c r="F629" s="12"/>
      <c r="G629" s="12"/>
      <c r="H629" s="12"/>
      <c r="I629" s="12"/>
      <c r="J629" s="12"/>
    </row>
    <row r="630" spans="4:10">
      <c r="D630" s="12"/>
      <c r="E630" s="12"/>
      <c r="F630" s="12"/>
      <c r="G630" s="12"/>
      <c r="H630" s="12"/>
      <c r="I630" s="12"/>
      <c r="J630" s="12"/>
    </row>
    <row r="631" spans="4:10">
      <c r="D631" s="12"/>
      <c r="E631" s="12"/>
      <c r="F631" s="12"/>
      <c r="G631" s="12"/>
      <c r="H631" s="12"/>
      <c r="I631" s="12"/>
      <c r="J631" s="12"/>
    </row>
    <row r="632" spans="4:10">
      <c r="D632" s="12"/>
      <c r="E632" s="12"/>
      <c r="F632" s="12"/>
      <c r="G632" s="12"/>
      <c r="H632" s="12"/>
      <c r="I632" s="12"/>
      <c r="J632" s="12"/>
    </row>
    <row r="633" spans="4:10">
      <c r="D633" s="12"/>
      <c r="E633" s="12"/>
      <c r="F633" s="12"/>
      <c r="G633" s="12"/>
      <c r="H633" s="12"/>
      <c r="I633" s="12"/>
      <c r="J633" s="12"/>
    </row>
    <row r="634" spans="4:10">
      <c r="D634" s="12"/>
      <c r="E634" s="12"/>
      <c r="F634" s="12"/>
      <c r="G634" s="12"/>
      <c r="H634" s="12"/>
      <c r="I634" s="12"/>
      <c r="J634" s="12"/>
    </row>
    <row r="635" spans="4:10">
      <c r="D635" s="12"/>
      <c r="E635" s="12"/>
      <c r="F635" s="12"/>
      <c r="G635" s="12"/>
      <c r="H635" s="12"/>
      <c r="I635" s="12"/>
      <c r="J635" s="12"/>
    </row>
    <row r="636" spans="4:10">
      <c r="D636" s="12"/>
      <c r="E636" s="12"/>
      <c r="F636" s="12"/>
      <c r="G636" s="12"/>
      <c r="H636" s="12"/>
      <c r="I636" s="12"/>
      <c r="J636" s="12"/>
    </row>
    <row r="637" spans="4:10">
      <c r="D637" s="12"/>
      <c r="E637" s="12"/>
      <c r="F637" s="12"/>
      <c r="G637" s="12"/>
      <c r="H637" s="12"/>
      <c r="I637" s="12"/>
      <c r="J637" s="12"/>
    </row>
    <row r="638" spans="4:10">
      <c r="D638" s="12"/>
      <c r="E638" s="12"/>
      <c r="F638" s="12"/>
      <c r="G638" s="12"/>
      <c r="H638" s="12"/>
      <c r="I638" s="12"/>
      <c r="J638" s="12"/>
    </row>
    <row r="639" spans="4:10">
      <c r="D639" s="12"/>
      <c r="E639" s="12"/>
      <c r="F639" s="12"/>
      <c r="G639" s="12"/>
      <c r="H639" s="12"/>
      <c r="I639" s="12"/>
      <c r="J639" s="12"/>
    </row>
    <row r="640" spans="4:10">
      <c r="D640" s="12"/>
      <c r="E640" s="12"/>
      <c r="F640" s="12"/>
      <c r="G640" s="12"/>
      <c r="H640" s="12"/>
      <c r="I640" s="12"/>
      <c r="J640" s="12"/>
    </row>
    <row r="641" spans="4:10">
      <c r="D641" s="12"/>
      <c r="E641" s="12"/>
      <c r="F641" s="12"/>
      <c r="G641" s="12"/>
      <c r="H641" s="12"/>
      <c r="I641" s="12"/>
      <c r="J641" s="12"/>
    </row>
    <row r="642" spans="4:10">
      <c r="D642" s="12"/>
      <c r="E642" s="12"/>
      <c r="F642" s="12"/>
      <c r="G642" s="12"/>
      <c r="H642" s="12"/>
      <c r="I642" s="12"/>
      <c r="J642" s="12"/>
    </row>
    <row r="643" spans="4:10">
      <c r="D643" s="12"/>
      <c r="E643" s="12"/>
      <c r="F643" s="12"/>
      <c r="G643" s="12"/>
      <c r="H643" s="12"/>
      <c r="I643" s="12"/>
      <c r="J643" s="12"/>
    </row>
    <row r="644" spans="4:10">
      <c r="D644" s="12"/>
      <c r="E644" s="12"/>
      <c r="F644" s="12"/>
      <c r="G644" s="12"/>
      <c r="H644" s="12"/>
      <c r="I644" s="12"/>
      <c r="J644" s="12"/>
    </row>
    <row r="645" spans="4:10">
      <c r="D645" s="12"/>
      <c r="E645" s="12"/>
      <c r="F645" s="12"/>
      <c r="G645" s="12"/>
      <c r="H645" s="12"/>
      <c r="I645" s="12"/>
      <c r="J645" s="12"/>
    </row>
    <row r="646" spans="4:10">
      <c r="D646" s="12"/>
      <c r="E646" s="12"/>
      <c r="F646" s="12"/>
      <c r="G646" s="12"/>
      <c r="H646" s="12"/>
      <c r="I646" s="12"/>
      <c r="J646" s="12"/>
    </row>
    <row r="647" spans="4:10">
      <c r="D647" s="12"/>
      <c r="E647" s="12"/>
      <c r="F647" s="12"/>
      <c r="G647" s="12"/>
      <c r="H647" s="12"/>
      <c r="I647" s="12"/>
      <c r="J647" s="12"/>
    </row>
    <row r="648" spans="4:10">
      <c r="D648" s="12"/>
      <c r="E648" s="12"/>
      <c r="F648" s="12"/>
      <c r="G648" s="12"/>
      <c r="H648" s="12"/>
      <c r="I648" s="12"/>
      <c r="J648" s="12"/>
    </row>
    <row r="649" spans="4:10">
      <c r="D649" s="12"/>
      <c r="E649" s="12"/>
      <c r="F649" s="12"/>
      <c r="G649" s="12"/>
      <c r="H649" s="12"/>
      <c r="I649" s="12"/>
      <c r="J649" s="12"/>
    </row>
    <row r="650" spans="4:10">
      <c r="D650" s="12"/>
      <c r="E650" s="12"/>
      <c r="F650" s="12"/>
      <c r="G650" s="12"/>
      <c r="H650" s="12"/>
      <c r="I650" s="12"/>
      <c r="J650" s="12"/>
    </row>
    <row r="651" spans="4:10">
      <c r="D651" s="12"/>
      <c r="E651" s="12"/>
      <c r="F651" s="12"/>
      <c r="G651" s="12"/>
      <c r="H651" s="12"/>
      <c r="I651" s="12"/>
      <c r="J651" s="12"/>
    </row>
    <row r="652" spans="4:10">
      <c r="D652" s="12"/>
      <c r="E652" s="12"/>
      <c r="F652" s="12"/>
      <c r="G652" s="12"/>
      <c r="H652" s="12"/>
      <c r="I652" s="12"/>
      <c r="J652" s="12"/>
    </row>
    <row r="653" spans="4:10">
      <c r="D653" s="12"/>
      <c r="E653" s="12"/>
      <c r="F653" s="12"/>
      <c r="G653" s="12"/>
      <c r="H653" s="12"/>
      <c r="I653" s="12"/>
      <c r="J653" s="12"/>
    </row>
    <row r="654" spans="4:10">
      <c r="D654" s="12"/>
      <c r="E654" s="12"/>
      <c r="F654" s="12"/>
      <c r="G654" s="12"/>
      <c r="H654" s="12"/>
      <c r="I654" s="12"/>
      <c r="J654" s="12"/>
    </row>
    <row r="655" spans="4:10">
      <c r="D655" s="12"/>
      <c r="E655" s="12"/>
      <c r="F655" s="12"/>
      <c r="G655" s="12"/>
      <c r="H655" s="12"/>
      <c r="I655" s="12"/>
      <c r="J655" s="12"/>
    </row>
    <row r="656" spans="4:10">
      <c r="D656" s="12"/>
      <c r="E656" s="12"/>
      <c r="F656" s="12"/>
      <c r="G656" s="12"/>
      <c r="H656" s="12"/>
      <c r="I656" s="12"/>
      <c r="J656" s="12"/>
    </row>
    <row r="657" spans="4:10">
      <c r="D657" s="12"/>
      <c r="E657" s="12"/>
      <c r="F657" s="12"/>
      <c r="G657" s="12"/>
      <c r="H657" s="12"/>
      <c r="I657" s="12"/>
      <c r="J657" s="12"/>
    </row>
    <row r="658" spans="4:10">
      <c r="D658" s="12"/>
      <c r="E658" s="12"/>
      <c r="F658" s="12"/>
      <c r="G658" s="12"/>
      <c r="H658" s="12"/>
      <c r="I658" s="12"/>
      <c r="J658" s="12"/>
    </row>
    <row r="659" spans="4:10">
      <c r="D659" s="12"/>
      <c r="E659" s="12"/>
      <c r="F659" s="12"/>
      <c r="G659" s="12"/>
      <c r="H659" s="12"/>
      <c r="I659" s="12"/>
      <c r="J659" s="12"/>
    </row>
    <row r="660" spans="4:10">
      <c r="D660" s="12"/>
      <c r="E660" s="12"/>
      <c r="F660" s="12"/>
      <c r="G660" s="12"/>
      <c r="H660" s="12"/>
      <c r="I660" s="12"/>
      <c r="J660" s="12"/>
    </row>
    <row r="661" spans="4:10">
      <c r="D661" s="12"/>
      <c r="E661" s="12"/>
      <c r="F661" s="12"/>
      <c r="G661" s="12"/>
      <c r="H661" s="12"/>
      <c r="I661" s="12"/>
      <c r="J661" s="12"/>
    </row>
    <row r="662" spans="4:10">
      <c r="D662" s="12"/>
      <c r="E662" s="12"/>
      <c r="F662" s="12"/>
      <c r="G662" s="12"/>
      <c r="H662" s="12"/>
      <c r="I662" s="12"/>
      <c r="J662" s="12"/>
    </row>
    <row r="663" spans="4:10">
      <c r="D663" s="12"/>
      <c r="E663" s="12"/>
      <c r="F663" s="12"/>
      <c r="G663" s="12"/>
      <c r="H663" s="12"/>
      <c r="I663" s="12"/>
      <c r="J663" s="12"/>
    </row>
    <row r="664" spans="4:10">
      <c r="D664" s="12"/>
      <c r="E664" s="12"/>
      <c r="F664" s="12"/>
      <c r="G664" s="12"/>
      <c r="H664" s="12"/>
      <c r="I664" s="12"/>
      <c r="J664" s="12"/>
    </row>
    <row r="665" spans="4:10">
      <c r="D665" s="12"/>
      <c r="E665" s="12"/>
      <c r="F665" s="12"/>
      <c r="G665" s="12"/>
      <c r="H665" s="12"/>
      <c r="I665" s="12"/>
      <c r="J665" s="12"/>
    </row>
    <row r="666" spans="4:10">
      <c r="D666" s="12"/>
      <c r="E666" s="12"/>
      <c r="F666" s="12"/>
      <c r="G666" s="12"/>
      <c r="H666" s="12"/>
      <c r="I666" s="12"/>
      <c r="J666" s="12"/>
    </row>
    <row r="667" spans="4:10">
      <c r="D667" s="12"/>
      <c r="E667" s="12"/>
      <c r="F667" s="12"/>
      <c r="G667" s="12"/>
      <c r="H667" s="12"/>
      <c r="I667" s="12"/>
      <c r="J667" s="12"/>
    </row>
    <row r="668" spans="4:10">
      <c r="D668" s="12"/>
      <c r="E668" s="12"/>
      <c r="F668" s="12"/>
      <c r="G668" s="12"/>
      <c r="H668" s="12"/>
      <c r="I668" s="12"/>
      <c r="J668" s="12"/>
    </row>
    <row r="669" spans="4:10">
      <c r="D669" s="12"/>
      <c r="E669" s="12"/>
      <c r="F669" s="12"/>
      <c r="G669" s="12"/>
      <c r="H669" s="12"/>
      <c r="I669" s="12"/>
      <c r="J669" s="12"/>
    </row>
    <row r="670" spans="4:10">
      <c r="D670" s="12"/>
      <c r="E670" s="12"/>
      <c r="F670" s="12"/>
      <c r="G670" s="12"/>
      <c r="H670" s="12"/>
      <c r="I670" s="12"/>
      <c r="J670" s="12"/>
    </row>
    <row r="671" spans="4:10">
      <c r="D671" s="12"/>
      <c r="E671" s="12"/>
      <c r="F671" s="12"/>
      <c r="G671" s="12"/>
      <c r="H671" s="12"/>
      <c r="I671" s="12"/>
      <c r="J671" s="12"/>
    </row>
    <row r="672" spans="4:10">
      <c r="D672" s="12"/>
      <c r="E672" s="12"/>
      <c r="F672" s="12"/>
      <c r="G672" s="12"/>
      <c r="H672" s="12"/>
      <c r="I672" s="12"/>
      <c r="J672" s="12"/>
    </row>
    <row r="673" spans="4:10">
      <c r="D673" s="12"/>
      <c r="E673" s="12"/>
      <c r="F673" s="12"/>
      <c r="G673" s="12"/>
      <c r="H673" s="12"/>
      <c r="I673" s="12"/>
      <c r="J673" s="12"/>
    </row>
    <row r="674" spans="4:10">
      <c r="D674" s="12"/>
      <c r="E674" s="12"/>
      <c r="F674" s="12"/>
      <c r="G674" s="12"/>
      <c r="H674" s="12"/>
      <c r="I674" s="12"/>
      <c r="J674" s="12"/>
    </row>
    <row r="675" spans="4:10">
      <c r="D675" s="12"/>
      <c r="E675" s="12"/>
      <c r="F675" s="12"/>
      <c r="G675" s="12"/>
      <c r="H675" s="12"/>
      <c r="I675" s="12"/>
      <c r="J675" s="12"/>
    </row>
    <row r="676" spans="4:10">
      <c r="D676" s="12"/>
      <c r="E676" s="12"/>
      <c r="F676" s="12"/>
      <c r="G676" s="12"/>
      <c r="H676" s="12"/>
      <c r="I676" s="12"/>
      <c r="J676" s="12"/>
    </row>
    <row r="677" spans="4:10">
      <c r="D677" s="12"/>
      <c r="E677" s="12"/>
      <c r="F677" s="12"/>
      <c r="G677" s="12"/>
      <c r="H677" s="12"/>
      <c r="I677" s="12"/>
      <c r="J677" s="12"/>
    </row>
    <row r="678" spans="4:10">
      <c r="D678" s="12"/>
      <c r="E678" s="12"/>
      <c r="F678" s="12"/>
      <c r="G678" s="12"/>
      <c r="H678" s="12"/>
      <c r="I678" s="12"/>
      <c r="J678" s="12"/>
    </row>
    <row r="679" spans="4:10">
      <c r="D679" s="12"/>
      <c r="E679" s="12"/>
      <c r="F679" s="12"/>
      <c r="G679" s="12"/>
      <c r="H679" s="12"/>
      <c r="I679" s="12"/>
      <c r="J679" s="12"/>
    </row>
    <row r="680" spans="4:10">
      <c r="D680" s="12"/>
      <c r="E680" s="12"/>
      <c r="F680" s="12"/>
      <c r="G680" s="12"/>
      <c r="H680" s="12"/>
      <c r="I680" s="12"/>
      <c r="J680" s="12"/>
    </row>
    <row r="681" spans="4:10">
      <c r="D681" s="12"/>
      <c r="E681" s="12"/>
      <c r="F681" s="12"/>
      <c r="G681" s="12"/>
      <c r="H681" s="12"/>
      <c r="I681" s="12"/>
      <c r="J681" s="12"/>
    </row>
    <row r="682" spans="4:10">
      <c r="D682" s="12"/>
      <c r="E682" s="12"/>
      <c r="F682" s="12"/>
      <c r="G682" s="12"/>
      <c r="H682" s="12"/>
      <c r="I682" s="12"/>
      <c r="J682" s="12"/>
    </row>
    <row r="683" spans="4:10">
      <c r="D683" s="12"/>
      <c r="E683" s="12"/>
      <c r="F683" s="12"/>
      <c r="G683" s="12"/>
      <c r="H683" s="12"/>
      <c r="I683" s="12"/>
      <c r="J683" s="12"/>
    </row>
    <row r="684" spans="4:10">
      <c r="D684" s="12"/>
      <c r="E684" s="12"/>
      <c r="F684" s="12"/>
      <c r="G684" s="12"/>
      <c r="H684" s="12"/>
      <c r="I684" s="12"/>
      <c r="J684" s="12"/>
    </row>
    <row r="685" spans="4:10">
      <c r="D685" s="12"/>
      <c r="E685" s="12"/>
      <c r="F685" s="12"/>
      <c r="G685" s="12"/>
      <c r="H685" s="12"/>
      <c r="I685" s="12"/>
      <c r="J685" s="12"/>
    </row>
    <row r="686" spans="4:10">
      <c r="D686" s="12"/>
      <c r="E686" s="12"/>
      <c r="F686" s="12"/>
      <c r="G686" s="12"/>
      <c r="H686" s="12"/>
      <c r="I686" s="12"/>
      <c r="J686" s="12"/>
    </row>
    <row r="687" spans="4:10">
      <c r="D687" s="12"/>
      <c r="E687" s="12"/>
      <c r="F687" s="12"/>
      <c r="G687" s="12"/>
      <c r="H687" s="12"/>
      <c r="I687" s="12"/>
      <c r="J687" s="12"/>
    </row>
    <row r="688" spans="4:10">
      <c r="D688" s="12"/>
      <c r="E688" s="12"/>
      <c r="F688" s="12"/>
      <c r="G688" s="12"/>
      <c r="H688" s="12"/>
      <c r="I688" s="12"/>
      <c r="J688" s="12"/>
    </row>
    <row r="689" spans="4:10">
      <c r="D689" s="12"/>
      <c r="E689" s="12"/>
      <c r="F689" s="12"/>
      <c r="G689" s="12"/>
      <c r="H689" s="12"/>
      <c r="I689" s="12"/>
      <c r="J689" s="12"/>
    </row>
    <row r="690" spans="4:10">
      <c r="D690" s="12"/>
      <c r="E690" s="12"/>
      <c r="F690" s="12"/>
      <c r="G690" s="12"/>
      <c r="H690" s="12"/>
      <c r="I690" s="12"/>
      <c r="J690" s="12"/>
    </row>
    <row r="691" spans="4:10">
      <c r="D691" s="12"/>
      <c r="E691" s="12"/>
      <c r="F691" s="12"/>
      <c r="G691" s="12"/>
      <c r="H691" s="12"/>
      <c r="I691" s="12"/>
      <c r="J691" s="12"/>
    </row>
    <row r="692" spans="4:10">
      <c r="D692" s="12"/>
      <c r="E692" s="12"/>
      <c r="F692" s="12"/>
      <c r="G692" s="12"/>
      <c r="H692" s="12"/>
      <c r="I692" s="12"/>
      <c r="J692" s="12"/>
    </row>
    <row r="693" spans="4:10">
      <c r="D693" s="12"/>
      <c r="E693" s="12"/>
      <c r="F693" s="12"/>
      <c r="G693" s="12"/>
      <c r="H693" s="12"/>
      <c r="I693" s="12"/>
      <c r="J693" s="12"/>
    </row>
    <row r="694" spans="4:10">
      <c r="D694" s="12"/>
      <c r="E694" s="12"/>
      <c r="F694" s="12"/>
      <c r="G694" s="12"/>
      <c r="H694" s="12"/>
      <c r="I694" s="12"/>
      <c r="J694" s="12"/>
    </row>
    <row r="695" spans="4:10">
      <c r="D695" s="12"/>
      <c r="E695" s="12"/>
      <c r="F695" s="12"/>
      <c r="G695" s="12"/>
      <c r="H695" s="12"/>
      <c r="I695" s="12"/>
      <c r="J695" s="12"/>
    </row>
    <row r="696" spans="4:10">
      <c r="D696" s="12"/>
      <c r="E696" s="12"/>
      <c r="F696" s="12"/>
      <c r="G696" s="12"/>
      <c r="H696" s="12"/>
      <c r="I696" s="12"/>
      <c r="J696" s="12"/>
    </row>
    <row r="697" spans="4:10">
      <c r="D697" s="12"/>
      <c r="E697" s="12"/>
      <c r="F697" s="12"/>
      <c r="G697" s="12"/>
      <c r="H697" s="12"/>
      <c r="I697" s="12"/>
      <c r="J697" s="12"/>
    </row>
    <row r="698" spans="4:10">
      <c r="D698" s="12"/>
      <c r="E698" s="12"/>
      <c r="F698" s="12"/>
      <c r="G698" s="12"/>
      <c r="H698" s="12"/>
      <c r="I698" s="12"/>
      <c r="J698" s="12"/>
    </row>
    <row r="699" spans="4:10">
      <c r="D699" s="12"/>
      <c r="E699" s="12"/>
      <c r="F699" s="12"/>
      <c r="G699" s="12"/>
      <c r="H699" s="12"/>
      <c r="I699" s="12"/>
      <c r="J699" s="12"/>
    </row>
    <row r="700" spans="4:10">
      <c r="D700" s="12"/>
      <c r="E700" s="12"/>
      <c r="F700" s="12"/>
      <c r="G700" s="12"/>
      <c r="H700" s="12"/>
      <c r="I700" s="12"/>
      <c r="J700" s="12"/>
    </row>
    <row r="701" spans="4:10">
      <c r="D701" s="12"/>
      <c r="E701" s="12"/>
      <c r="F701" s="12"/>
      <c r="G701" s="12"/>
      <c r="H701" s="12"/>
      <c r="I701" s="12"/>
      <c r="J701" s="12"/>
    </row>
    <row r="702" spans="4:10">
      <c r="D702" s="12"/>
      <c r="E702" s="12"/>
      <c r="F702" s="12"/>
      <c r="G702" s="12"/>
      <c r="H702" s="12"/>
      <c r="I702" s="12"/>
      <c r="J702" s="12"/>
    </row>
    <row r="703" spans="4:10">
      <c r="D703" s="12"/>
      <c r="E703" s="12"/>
      <c r="F703" s="12"/>
      <c r="G703" s="12"/>
      <c r="H703" s="12"/>
      <c r="I703" s="12"/>
      <c r="J703" s="12"/>
    </row>
    <row r="704" spans="4:10">
      <c r="D704" s="12"/>
      <c r="E704" s="12"/>
      <c r="F704" s="12"/>
      <c r="G704" s="12"/>
      <c r="H704" s="12"/>
      <c r="I704" s="12"/>
      <c r="J704" s="12"/>
    </row>
    <row r="705" spans="4:10">
      <c r="D705" s="12"/>
      <c r="E705" s="12"/>
      <c r="F705" s="12"/>
      <c r="G705" s="12"/>
      <c r="H705" s="12"/>
      <c r="I705" s="12"/>
      <c r="J705" s="12"/>
    </row>
    <row r="706" spans="4:10">
      <c r="D706" s="12"/>
      <c r="E706" s="12"/>
      <c r="F706" s="12"/>
      <c r="G706" s="12"/>
      <c r="H706" s="12"/>
      <c r="I706" s="12"/>
      <c r="J706" s="12"/>
    </row>
    <row r="707" spans="4:10">
      <c r="D707" s="12"/>
      <c r="E707" s="12"/>
      <c r="F707" s="12"/>
      <c r="G707" s="12"/>
      <c r="H707" s="12"/>
      <c r="I707" s="12"/>
      <c r="J707" s="12"/>
    </row>
    <row r="708" spans="4:10">
      <c r="D708" s="12"/>
      <c r="E708" s="12"/>
      <c r="F708" s="12"/>
      <c r="G708" s="12"/>
      <c r="H708" s="12"/>
      <c r="I708" s="12"/>
      <c r="J708" s="12"/>
    </row>
    <row r="709" spans="4:10">
      <c r="D709" s="12"/>
      <c r="E709" s="12"/>
      <c r="F709" s="12"/>
      <c r="G709" s="12"/>
      <c r="H709" s="12"/>
      <c r="I709" s="12"/>
      <c r="J709" s="12"/>
    </row>
    <row r="710" spans="4:10">
      <c r="D710" s="12"/>
      <c r="E710" s="12"/>
      <c r="F710" s="12"/>
      <c r="G710" s="12"/>
      <c r="H710" s="12"/>
      <c r="I710" s="12"/>
      <c r="J710" s="12"/>
    </row>
    <row r="711" spans="4:10">
      <c r="D711" s="12"/>
      <c r="E711" s="12"/>
      <c r="F711" s="12"/>
      <c r="G711" s="12"/>
      <c r="H711" s="12"/>
      <c r="I711" s="12"/>
      <c r="J711" s="12"/>
    </row>
    <row r="712" spans="4:10">
      <c r="D712" s="12"/>
      <c r="E712" s="12"/>
      <c r="F712" s="12"/>
      <c r="G712" s="12"/>
      <c r="H712" s="12"/>
      <c r="I712" s="12"/>
      <c r="J712" s="12"/>
    </row>
    <row r="713" spans="4:10">
      <c r="D713" s="12"/>
      <c r="E713" s="12"/>
      <c r="F713" s="12"/>
      <c r="G713" s="12"/>
      <c r="H713" s="12"/>
      <c r="I713" s="12"/>
      <c r="J713" s="12"/>
    </row>
    <row r="714" spans="4:10">
      <c r="D714" s="12"/>
      <c r="E714" s="12"/>
      <c r="F714" s="12"/>
      <c r="G714" s="12"/>
      <c r="H714" s="12"/>
      <c r="I714" s="12"/>
      <c r="J714" s="12"/>
    </row>
    <row r="715" spans="4:10">
      <c r="D715" s="12"/>
      <c r="E715" s="12"/>
      <c r="F715" s="12"/>
      <c r="G715" s="12"/>
      <c r="H715" s="12"/>
      <c r="I715" s="12"/>
      <c r="J715" s="12"/>
    </row>
    <row r="716" spans="4:10">
      <c r="D716" s="12"/>
      <c r="E716" s="12"/>
      <c r="F716" s="12"/>
      <c r="G716" s="12"/>
      <c r="H716" s="12"/>
      <c r="I716" s="12"/>
      <c r="J716" s="12"/>
    </row>
    <row r="717" spans="4:10">
      <c r="D717" s="12"/>
      <c r="E717" s="12"/>
      <c r="F717" s="12"/>
      <c r="G717" s="12"/>
      <c r="H717" s="12"/>
      <c r="I717" s="12"/>
      <c r="J717" s="12"/>
    </row>
    <row r="718" spans="4:10">
      <c r="D718" s="12"/>
      <c r="E718" s="12"/>
      <c r="F718" s="12"/>
      <c r="G718" s="12"/>
      <c r="H718" s="12"/>
      <c r="I718" s="12"/>
      <c r="J718" s="12"/>
    </row>
    <row r="719" spans="4:10">
      <c r="D719" s="12"/>
      <c r="E719" s="12"/>
      <c r="F719" s="12"/>
      <c r="G719" s="12"/>
      <c r="H719" s="12"/>
      <c r="I719" s="12"/>
      <c r="J719" s="12"/>
    </row>
    <row r="720" spans="4:10">
      <c r="D720" s="12"/>
      <c r="E720" s="12"/>
      <c r="F720" s="12"/>
      <c r="G720" s="12"/>
      <c r="H720" s="12"/>
      <c r="I720" s="12"/>
      <c r="J720" s="12"/>
    </row>
    <row r="721" spans="4:10">
      <c r="D721" s="12"/>
      <c r="E721" s="12"/>
      <c r="F721" s="12"/>
      <c r="G721" s="12"/>
      <c r="H721" s="12"/>
      <c r="I721" s="12"/>
      <c r="J721" s="12"/>
    </row>
    <row r="722" spans="4:10">
      <c r="D722" s="12"/>
      <c r="E722" s="12"/>
      <c r="F722" s="12"/>
      <c r="G722" s="12"/>
      <c r="H722" s="12"/>
      <c r="I722" s="12"/>
      <c r="J722" s="12"/>
    </row>
    <row r="723" spans="4:10">
      <c r="D723" s="12"/>
      <c r="E723" s="12"/>
      <c r="F723" s="12"/>
      <c r="G723" s="12"/>
      <c r="H723" s="12"/>
      <c r="I723" s="12"/>
      <c r="J723" s="12"/>
    </row>
    <row r="724" spans="4:10">
      <c r="D724" s="12"/>
      <c r="E724" s="12"/>
      <c r="F724" s="12"/>
      <c r="G724" s="12"/>
      <c r="H724" s="12"/>
      <c r="I724" s="12"/>
      <c r="J724" s="12"/>
    </row>
    <row r="725" spans="4:10">
      <c r="D725" s="12"/>
      <c r="E725" s="12"/>
      <c r="F725" s="12"/>
      <c r="G725" s="12"/>
      <c r="H725" s="12"/>
      <c r="I725" s="12"/>
      <c r="J725" s="12"/>
    </row>
    <row r="726" spans="4:10">
      <c r="D726" s="12"/>
      <c r="E726" s="12"/>
      <c r="F726" s="12"/>
      <c r="G726" s="12"/>
      <c r="H726" s="12"/>
      <c r="I726" s="12"/>
      <c r="J726" s="12"/>
    </row>
    <row r="727" spans="4:10">
      <c r="D727" s="12"/>
      <c r="E727" s="12"/>
      <c r="F727" s="12"/>
      <c r="G727" s="12"/>
      <c r="H727" s="12"/>
      <c r="I727" s="12"/>
      <c r="J727" s="12"/>
    </row>
    <row r="728" spans="4:10">
      <c r="D728" s="12"/>
      <c r="E728" s="12"/>
      <c r="F728" s="12"/>
      <c r="G728" s="12"/>
      <c r="H728" s="12"/>
      <c r="I728" s="12"/>
      <c r="J728" s="12"/>
    </row>
    <row r="729" spans="4:10">
      <c r="D729" s="12"/>
      <c r="E729" s="12"/>
      <c r="F729" s="12"/>
      <c r="G729" s="12"/>
      <c r="H729" s="12"/>
      <c r="I729" s="12"/>
      <c r="J729" s="12"/>
    </row>
    <row r="730" spans="4:10">
      <c r="D730" s="12"/>
      <c r="E730" s="12"/>
      <c r="F730" s="12"/>
      <c r="G730" s="12"/>
      <c r="H730" s="12"/>
      <c r="I730" s="12"/>
      <c r="J730" s="12"/>
    </row>
    <row r="731" spans="4:10">
      <c r="D731" s="12"/>
      <c r="E731" s="12"/>
      <c r="F731" s="12"/>
      <c r="G731" s="12"/>
      <c r="H731" s="12"/>
      <c r="I731" s="12"/>
      <c r="J731" s="12"/>
    </row>
    <row r="732" spans="4:10">
      <c r="D732" s="12"/>
      <c r="E732" s="12"/>
      <c r="F732" s="12"/>
      <c r="G732" s="12"/>
      <c r="H732" s="12"/>
      <c r="I732" s="12"/>
      <c r="J732" s="12"/>
    </row>
    <row r="733" spans="4:10">
      <c r="D733" s="12"/>
      <c r="E733" s="12"/>
      <c r="F733" s="12"/>
      <c r="G733" s="12"/>
      <c r="H733" s="12"/>
      <c r="I733" s="12"/>
      <c r="J733" s="12"/>
    </row>
    <row r="734" spans="4:10">
      <c r="D734" s="12"/>
      <c r="E734" s="12"/>
      <c r="F734" s="12"/>
      <c r="G734" s="12"/>
      <c r="H734" s="12"/>
      <c r="I734" s="12"/>
      <c r="J734" s="12"/>
    </row>
    <row r="735" spans="4:10">
      <c r="D735" s="12"/>
      <c r="E735" s="12"/>
      <c r="F735" s="12"/>
      <c r="G735" s="12"/>
      <c r="H735" s="12"/>
      <c r="I735" s="12"/>
      <c r="J735" s="12"/>
    </row>
    <row r="736" spans="4:10">
      <c r="D736" s="12"/>
      <c r="E736" s="12"/>
      <c r="F736" s="12"/>
      <c r="G736" s="12"/>
      <c r="H736" s="12"/>
      <c r="I736" s="12"/>
      <c r="J736" s="12"/>
    </row>
    <row r="737" spans="4:10">
      <c r="D737" s="12"/>
      <c r="E737" s="12"/>
      <c r="F737" s="12"/>
      <c r="G737" s="12"/>
      <c r="H737" s="12"/>
      <c r="I737" s="12"/>
      <c r="J737" s="12"/>
    </row>
    <row r="738" spans="4:10">
      <c r="D738" s="12"/>
      <c r="E738" s="12"/>
      <c r="F738" s="12"/>
      <c r="G738" s="12"/>
      <c r="H738" s="12"/>
      <c r="I738" s="12"/>
      <c r="J738" s="12"/>
    </row>
    <row r="739" spans="4:10">
      <c r="D739" s="12"/>
      <c r="E739" s="12"/>
      <c r="F739" s="12"/>
      <c r="G739" s="12"/>
      <c r="H739" s="12"/>
      <c r="I739" s="12"/>
      <c r="J739" s="12"/>
    </row>
    <row r="740" spans="4:10">
      <c r="D740" s="12"/>
      <c r="E740" s="12"/>
      <c r="F740" s="12"/>
      <c r="G740" s="12"/>
      <c r="H740" s="12"/>
      <c r="I740" s="12"/>
      <c r="J740" s="12"/>
    </row>
    <row r="741" spans="4:10">
      <c r="D741" s="12"/>
      <c r="E741" s="12"/>
      <c r="F741" s="12"/>
      <c r="G741" s="12"/>
      <c r="H741" s="12"/>
      <c r="I741" s="12"/>
      <c r="J741" s="12"/>
    </row>
    <row r="742" spans="4:10">
      <c r="D742" s="12"/>
      <c r="E742" s="12"/>
      <c r="F742" s="12"/>
      <c r="G742" s="12"/>
      <c r="H742" s="12"/>
      <c r="I742" s="12"/>
      <c r="J742" s="12"/>
    </row>
    <row r="743" spans="4:10">
      <c r="D743" s="12"/>
      <c r="E743" s="12"/>
      <c r="F743" s="12"/>
      <c r="G743" s="12"/>
      <c r="H743" s="12"/>
      <c r="I743" s="12"/>
      <c r="J743" s="12"/>
    </row>
    <row r="744" spans="4:10">
      <c r="D744" s="12"/>
      <c r="E744" s="12"/>
      <c r="F744" s="12"/>
      <c r="G744" s="12"/>
      <c r="H744" s="12"/>
      <c r="I744" s="12"/>
      <c r="J744" s="12"/>
    </row>
    <row r="745" spans="4:10">
      <c r="D745" s="12"/>
      <c r="E745" s="12"/>
      <c r="F745" s="12"/>
      <c r="G745" s="12"/>
      <c r="H745" s="12"/>
      <c r="I745" s="12"/>
      <c r="J745" s="12"/>
    </row>
    <row r="746" spans="4:10">
      <c r="D746" s="12"/>
      <c r="E746" s="12"/>
      <c r="F746" s="12"/>
      <c r="G746" s="12"/>
      <c r="H746" s="12"/>
      <c r="I746" s="12"/>
      <c r="J746" s="12"/>
    </row>
    <row r="747" spans="4:10">
      <c r="D747" s="12"/>
      <c r="E747" s="12"/>
      <c r="F747" s="12"/>
      <c r="G747" s="12"/>
      <c r="H747" s="12"/>
      <c r="I747" s="12"/>
      <c r="J747" s="12"/>
    </row>
    <row r="748" spans="4:10">
      <c r="D748" s="12"/>
      <c r="E748" s="12"/>
      <c r="F748" s="12"/>
      <c r="G748" s="12"/>
      <c r="H748" s="12"/>
      <c r="I748" s="12"/>
      <c r="J748" s="12"/>
    </row>
    <row r="749" spans="4:10">
      <c r="D749" s="12"/>
      <c r="E749" s="12"/>
      <c r="F749" s="12"/>
      <c r="G749" s="12"/>
      <c r="H749" s="12"/>
      <c r="I749" s="12"/>
      <c r="J749" s="12"/>
    </row>
    <row r="750" spans="4:10">
      <c r="D750" s="12"/>
      <c r="E750" s="12"/>
      <c r="F750" s="12"/>
      <c r="G750" s="12"/>
      <c r="H750" s="12"/>
      <c r="I750" s="12"/>
      <c r="J750" s="12"/>
    </row>
    <row r="751" spans="4:10">
      <c r="D751" s="12"/>
      <c r="E751" s="12"/>
      <c r="F751" s="12"/>
      <c r="G751" s="12"/>
      <c r="H751" s="12"/>
      <c r="I751" s="12"/>
      <c r="J751" s="12"/>
    </row>
    <row r="752" spans="4:10">
      <c r="D752" s="12"/>
      <c r="E752" s="12"/>
      <c r="F752" s="12"/>
      <c r="G752" s="12"/>
      <c r="H752" s="12"/>
      <c r="I752" s="12"/>
      <c r="J752" s="12"/>
    </row>
    <row r="753" spans="4:10">
      <c r="D753" s="12"/>
      <c r="E753" s="12"/>
      <c r="F753" s="12"/>
      <c r="G753" s="12"/>
      <c r="H753" s="12"/>
      <c r="I753" s="12"/>
      <c r="J753" s="12"/>
    </row>
    <row r="754" spans="4:10">
      <c r="D754" s="12"/>
      <c r="E754" s="12"/>
      <c r="F754" s="12"/>
      <c r="G754" s="12"/>
      <c r="H754" s="12"/>
      <c r="I754" s="12"/>
      <c r="J754" s="12"/>
    </row>
    <row r="755" spans="4:10">
      <c r="D755" s="12"/>
      <c r="E755" s="12"/>
      <c r="F755" s="12"/>
      <c r="G755" s="12"/>
      <c r="H755" s="12"/>
      <c r="I755" s="12"/>
      <c r="J755" s="12"/>
    </row>
    <row r="756" spans="4:10">
      <c r="D756" s="12"/>
      <c r="E756" s="12"/>
      <c r="F756" s="12"/>
      <c r="G756" s="12"/>
      <c r="H756" s="12"/>
      <c r="I756" s="12"/>
      <c r="J756" s="12"/>
    </row>
    <row r="757" spans="4:10">
      <c r="D757" s="12"/>
      <c r="E757" s="12"/>
      <c r="F757" s="12"/>
      <c r="G757" s="12"/>
      <c r="H757" s="12"/>
      <c r="I757" s="12"/>
      <c r="J757" s="12"/>
    </row>
    <row r="758" spans="4:10">
      <c r="D758" s="12"/>
      <c r="E758" s="12"/>
      <c r="F758" s="12"/>
      <c r="G758" s="12"/>
      <c r="H758" s="12"/>
      <c r="I758" s="12"/>
      <c r="J758" s="12"/>
    </row>
    <row r="759" spans="4:10">
      <c r="D759" s="12"/>
      <c r="E759" s="12"/>
      <c r="F759" s="12"/>
      <c r="G759" s="12"/>
      <c r="H759" s="12"/>
      <c r="I759" s="12"/>
      <c r="J759" s="12"/>
    </row>
    <row r="760" spans="4:10">
      <c r="D760" s="12"/>
      <c r="E760" s="12"/>
      <c r="F760" s="12"/>
      <c r="G760" s="12"/>
      <c r="H760" s="12"/>
      <c r="I760" s="12"/>
      <c r="J760" s="12"/>
    </row>
    <row r="761" spans="4:10">
      <c r="D761" s="12"/>
      <c r="E761" s="12"/>
      <c r="F761" s="12"/>
      <c r="G761" s="12"/>
      <c r="H761" s="12"/>
      <c r="I761" s="12"/>
      <c r="J761" s="12"/>
    </row>
    <row r="762" spans="4:10">
      <c r="D762" s="12"/>
      <c r="E762" s="12"/>
      <c r="F762" s="12"/>
      <c r="G762" s="12"/>
      <c r="H762" s="12"/>
      <c r="I762" s="12"/>
      <c r="J762" s="12"/>
    </row>
    <row r="763" spans="4:10">
      <c r="D763" s="12"/>
      <c r="E763" s="12"/>
      <c r="F763" s="12"/>
      <c r="G763" s="12"/>
      <c r="H763" s="12"/>
      <c r="I763" s="12"/>
      <c r="J763" s="12"/>
    </row>
    <row r="764" spans="4:10">
      <c r="D764" s="12"/>
      <c r="E764" s="12"/>
      <c r="F764" s="12"/>
      <c r="G764" s="12"/>
      <c r="H764" s="12"/>
      <c r="I764" s="12"/>
      <c r="J764" s="12"/>
    </row>
    <row r="765" spans="4:10">
      <c r="D765" s="12"/>
      <c r="E765" s="12"/>
      <c r="F765" s="12"/>
      <c r="G765" s="12"/>
      <c r="H765" s="12"/>
      <c r="I765" s="12"/>
      <c r="J765" s="12"/>
    </row>
    <row r="766" spans="4:10">
      <c r="D766" s="12"/>
      <c r="E766" s="12"/>
      <c r="F766" s="12"/>
      <c r="G766" s="12"/>
      <c r="H766" s="12"/>
      <c r="I766" s="12"/>
      <c r="J766" s="12"/>
    </row>
    <row r="767" spans="4:10">
      <c r="D767" s="12"/>
      <c r="E767" s="12"/>
      <c r="F767" s="12"/>
      <c r="G767" s="12"/>
      <c r="H767" s="12"/>
      <c r="I767" s="12"/>
      <c r="J767" s="12"/>
    </row>
    <row r="768" spans="4:10">
      <c r="D768" s="12"/>
      <c r="E768" s="12"/>
      <c r="F768" s="12"/>
      <c r="G768" s="12"/>
      <c r="H768" s="12"/>
      <c r="I768" s="12"/>
      <c r="J768" s="12"/>
    </row>
    <row r="769" spans="4:10">
      <c r="D769" s="12"/>
      <c r="E769" s="12"/>
      <c r="F769" s="12"/>
      <c r="G769" s="12"/>
      <c r="H769" s="12"/>
      <c r="I769" s="12"/>
      <c r="J769" s="12"/>
    </row>
    <row r="770" spans="4:10">
      <c r="D770" s="12"/>
      <c r="E770" s="12"/>
      <c r="F770" s="12"/>
      <c r="G770" s="12"/>
      <c r="H770" s="12"/>
      <c r="I770" s="12"/>
      <c r="J770" s="12"/>
    </row>
    <row r="771" spans="4:10">
      <c r="D771" s="12"/>
      <c r="E771" s="12"/>
      <c r="F771" s="12"/>
      <c r="G771" s="12"/>
      <c r="H771" s="12"/>
      <c r="I771" s="12"/>
      <c r="J771" s="12"/>
    </row>
    <row r="772" spans="4:10">
      <c r="D772" s="12"/>
      <c r="E772" s="12"/>
      <c r="F772" s="12"/>
      <c r="G772" s="12"/>
      <c r="H772" s="12"/>
      <c r="I772" s="12"/>
      <c r="J772" s="12"/>
    </row>
    <row r="773" spans="4:10">
      <c r="D773" s="12"/>
      <c r="E773" s="12"/>
      <c r="F773" s="12"/>
      <c r="G773" s="12"/>
      <c r="H773" s="12"/>
      <c r="I773" s="12"/>
      <c r="J773" s="12"/>
    </row>
    <row r="774" spans="4:10">
      <c r="D774" s="12"/>
      <c r="E774" s="12"/>
      <c r="F774" s="12"/>
      <c r="G774" s="12"/>
      <c r="H774" s="12"/>
      <c r="I774" s="12"/>
      <c r="J774" s="12"/>
    </row>
    <row r="775" spans="4:10">
      <c r="D775" s="12"/>
      <c r="E775" s="12"/>
      <c r="F775" s="12"/>
      <c r="G775" s="12"/>
      <c r="H775" s="12"/>
      <c r="I775" s="12"/>
      <c r="J775" s="12"/>
    </row>
    <row r="776" spans="4:10">
      <c r="D776" s="12"/>
      <c r="E776" s="12"/>
      <c r="F776" s="12"/>
      <c r="G776" s="12"/>
      <c r="H776" s="12"/>
      <c r="I776" s="12"/>
      <c r="J776" s="12"/>
    </row>
    <row r="777" spans="4:10">
      <c r="D777" s="12"/>
      <c r="E777" s="12"/>
      <c r="F777" s="12"/>
      <c r="G777" s="12"/>
      <c r="H777" s="12"/>
      <c r="I777" s="12"/>
      <c r="J777" s="12"/>
    </row>
    <row r="778" spans="4:10">
      <c r="D778" s="12"/>
      <c r="E778" s="12"/>
      <c r="F778" s="12"/>
      <c r="G778" s="12"/>
      <c r="H778" s="12"/>
      <c r="I778" s="12"/>
      <c r="J778" s="12"/>
    </row>
    <row r="779" spans="4:10">
      <c r="D779" s="12"/>
      <c r="E779" s="12"/>
      <c r="F779" s="12"/>
      <c r="G779" s="12"/>
      <c r="H779" s="12"/>
      <c r="I779" s="12"/>
      <c r="J779" s="12"/>
    </row>
    <row r="780" spans="4:10">
      <c r="D780" s="12"/>
      <c r="E780" s="12"/>
      <c r="F780" s="12"/>
      <c r="G780" s="12"/>
      <c r="H780" s="12"/>
      <c r="I780" s="12"/>
      <c r="J780" s="12"/>
    </row>
    <row r="781" spans="4:10">
      <c r="D781" s="12"/>
      <c r="E781" s="12"/>
      <c r="F781" s="12"/>
      <c r="G781" s="12"/>
      <c r="H781" s="12"/>
      <c r="I781" s="12"/>
      <c r="J781" s="12"/>
    </row>
    <row r="782" spans="4:10">
      <c r="D782" s="12"/>
      <c r="E782" s="12"/>
      <c r="F782" s="12"/>
      <c r="G782" s="12"/>
      <c r="H782" s="12"/>
      <c r="I782" s="12"/>
      <c r="J782" s="12"/>
    </row>
    <row r="783" spans="4:10">
      <c r="D783" s="12"/>
      <c r="E783" s="12"/>
      <c r="F783" s="12"/>
      <c r="G783" s="12"/>
      <c r="H783" s="12"/>
      <c r="I783" s="12"/>
      <c r="J783" s="12"/>
    </row>
    <row r="784" spans="4:10">
      <c r="D784" s="12"/>
      <c r="E784" s="12"/>
      <c r="F784" s="12"/>
      <c r="G784" s="12"/>
      <c r="H784" s="12"/>
      <c r="I784" s="12"/>
      <c r="J784" s="12"/>
    </row>
    <row r="785" spans="4:10">
      <c r="D785" s="12"/>
      <c r="E785" s="12"/>
      <c r="F785" s="12"/>
      <c r="G785" s="12"/>
      <c r="H785" s="12"/>
      <c r="I785" s="12"/>
      <c r="J785" s="12"/>
    </row>
    <row r="786" spans="4:10">
      <c r="D786" s="12"/>
      <c r="E786" s="12"/>
      <c r="F786" s="12"/>
      <c r="G786" s="12"/>
      <c r="H786" s="12"/>
      <c r="I786" s="12"/>
      <c r="J786" s="12"/>
    </row>
    <row r="787" spans="4:10">
      <c r="D787" s="12"/>
      <c r="E787" s="12"/>
      <c r="F787" s="12"/>
      <c r="G787" s="12"/>
      <c r="H787" s="12"/>
      <c r="I787" s="12"/>
      <c r="J787" s="12"/>
    </row>
    <row r="788" spans="4:10">
      <c r="D788" s="12"/>
      <c r="E788" s="12"/>
      <c r="F788" s="12"/>
      <c r="G788" s="12"/>
      <c r="H788" s="12"/>
      <c r="I788" s="12"/>
      <c r="J788" s="12"/>
    </row>
    <row r="789" spans="4:10">
      <c r="D789" s="12"/>
      <c r="E789" s="12"/>
      <c r="F789" s="12"/>
      <c r="G789" s="12"/>
      <c r="H789" s="12"/>
      <c r="I789" s="12"/>
      <c r="J789" s="12"/>
    </row>
    <row r="790" spans="4:10">
      <c r="D790" s="12"/>
      <c r="E790" s="12"/>
      <c r="F790" s="12"/>
      <c r="G790" s="12"/>
      <c r="H790" s="12"/>
      <c r="I790" s="12"/>
      <c r="J790" s="12"/>
    </row>
    <row r="791" spans="4:10">
      <c r="D791" s="12"/>
      <c r="E791" s="12"/>
      <c r="F791" s="12"/>
      <c r="G791" s="12"/>
      <c r="H791" s="12"/>
      <c r="I791" s="12"/>
      <c r="J791" s="12"/>
    </row>
    <row r="792" spans="4:10">
      <c r="D792" s="12"/>
      <c r="E792" s="12"/>
      <c r="F792" s="12"/>
      <c r="G792" s="12"/>
      <c r="H792" s="12"/>
      <c r="I792" s="12"/>
      <c r="J792" s="12"/>
    </row>
    <row r="793" spans="4:10">
      <c r="D793" s="12"/>
      <c r="E793" s="12"/>
      <c r="F793" s="12"/>
      <c r="G793" s="12"/>
      <c r="H793" s="12"/>
      <c r="I793" s="12"/>
      <c r="J793" s="12"/>
    </row>
    <row r="794" spans="4:10">
      <c r="D794" s="12"/>
      <c r="E794" s="12"/>
      <c r="F794" s="12"/>
      <c r="G794" s="12"/>
      <c r="H794" s="12"/>
      <c r="I794" s="12"/>
      <c r="J794" s="12"/>
    </row>
    <row r="795" spans="4:10">
      <c r="D795" s="12"/>
      <c r="E795" s="12"/>
      <c r="F795" s="12"/>
      <c r="G795" s="12"/>
      <c r="H795" s="12"/>
      <c r="I795" s="12"/>
      <c r="J795" s="12"/>
    </row>
    <row r="796" spans="4:10">
      <c r="D796" s="12"/>
      <c r="E796" s="12"/>
      <c r="F796" s="12"/>
      <c r="G796" s="12"/>
      <c r="H796" s="12"/>
      <c r="I796" s="12"/>
      <c r="J796" s="12"/>
    </row>
    <row r="797" spans="4:10">
      <c r="D797" s="12"/>
      <c r="E797" s="12"/>
      <c r="F797" s="12"/>
      <c r="G797" s="12"/>
      <c r="H797" s="12"/>
      <c r="I797" s="12"/>
      <c r="J797" s="12"/>
    </row>
    <row r="798" spans="4:10">
      <c r="D798" s="12"/>
      <c r="E798" s="12"/>
      <c r="F798" s="12"/>
      <c r="G798" s="12"/>
      <c r="H798" s="12"/>
      <c r="I798" s="12"/>
      <c r="J798" s="12"/>
    </row>
    <row r="799" spans="4:10">
      <c r="D799" s="12"/>
      <c r="E799" s="12"/>
      <c r="F799" s="12"/>
      <c r="G799" s="12"/>
      <c r="H799" s="12"/>
      <c r="I799" s="12"/>
      <c r="J799" s="12"/>
    </row>
    <row r="800" spans="4:10">
      <c r="D800" s="12"/>
      <c r="E800" s="12"/>
      <c r="F800" s="12"/>
      <c r="G800" s="12"/>
      <c r="H800" s="12"/>
      <c r="I800" s="12"/>
      <c r="J800" s="12"/>
    </row>
    <row r="801" spans="4:10">
      <c r="D801" s="12"/>
      <c r="E801" s="12"/>
      <c r="F801" s="12"/>
      <c r="G801" s="12"/>
      <c r="H801" s="12"/>
      <c r="I801" s="12"/>
      <c r="J801" s="12"/>
    </row>
    <row r="802" spans="4:10">
      <c r="D802" s="12"/>
      <c r="E802" s="12"/>
      <c r="F802" s="12"/>
      <c r="G802" s="12"/>
      <c r="H802" s="12"/>
      <c r="I802" s="12"/>
      <c r="J802" s="12"/>
    </row>
    <row r="803" spans="4:10">
      <c r="D803" s="12"/>
      <c r="E803" s="12"/>
      <c r="F803" s="12"/>
      <c r="G803" s="12"/>
      <c r="H803" s="12"/>
      <c r="I803" s="12"/>
      <c r="J803" s="12"/>
    </row>
    <row r="804" spans="4:10">
      <c r="D804" s="12"/>
      <c r="E804" s="12"/>
      <c r="F804" s="12"/>
      <c r="G804" s="12"/>
      <c r="H804" s="12"/>
      <c r="I804" s="12"/>
      <c r="J804" s="12"/>
    </row>
    <row r="805" spans="4:10">
      <c r="D805" s="12"/>
      <c r="E805" s="12"/>
      <c r="F805" s="12"/>
      <c r="G805" s="12"/>
      <c r="H805" s="12"/>
      <c r="I805" s="12"/>
      <c r="J805" s="12"/>
    </row>
    <row r="806" spans="4:10">
      <c r="D806" s="12"/>
      <c r="E806" s="12"/>
      <c r="F806" s="12"/>
      <c r="G806" s="12"/>
      <c r="H806" s="12"/>
      <c r="I806" s="12"/>
      <c r="J806" s="12"/>
    </row>
    <row r="807" spans="4:10">
      <c r="D807" s="12"/>
      <c r="E807" s="12"/>
      <c r="F807" s="12"/>
      <c r="G807" s="12"/>
      <c r="H807" s="12"/>
      <c r="I807" s="12"/>
      <c r="J807" s="12"/>
    </row>
    <row r="808" spans="4:10">
      <c r="D808" s="12"/>
      <c r="E808" s="12"/>
      <c r="F808" s="12"/>
      <c r="G808" s="12"/>
      <c r="H808" s="12"/>
      <c r="I808" s="12"/>
      <c r="J808" s="12"/>
    </row>
    <row r="809" spans="4:10">
      <c r="D809" s="12"/>
      <c r="E809" s="12"/>
      <c r="F809" s="12"/>
      <c r="G809" s="12"/>
      <c r="H809" s="12"/>
      <c r="I809" s="12"/>
      <c r="J809" s="12"/>
    </row>
    <row r="810" spans="4:10">
      <c r="D810" s="12"/>
      <c r="E810" s="12"/>
      <c r="F810" s="12"/>
      <c r="G810" s="12"/>
      <c r="H810" s="12"/>
      <c r="I810" s="12"/>
      <c r="J810" s="12"/>
    </row>
    <row r="811" spans="4:10">
      <c r="D811" s="12"/>
      <c r="E811" s="12"/>
      <c r="F811" s="12"/>
      <c r="G811" s="12"/>
      <c r="H811" s="12"/>
      <c r="I811" s="12"/>
      <c r="J811" s="12"/>
    </row>
    <row r="812" spans="4:10">
      <c r="D812" s="12"/>
      <c r="E812" s="12"/>
      <c r="F812" s="12"/>
      <c r="G812" s="12"/>
      <c r="H812" s="12"/>
      <c r="I812" s="12"/>
      <c r="J812" s="12"/>
    </row>
    <row r="813" spans="4:10">
      <c r="D813" s="12"/>
      <c r="E813" s="12"/>
      <c r="F813" s="12"/>
      <c r="G813" s="12"/>
      <c r="H813" s="12"/>
      <c r="I813" s="12"/>
      <c r="J813" s="12"/>
    </row>
    <row r="814" spans="4:10">
      <c r="D814" s="12"/>
      <c r="E814" s="12"/>
      <c r="F814" s="12"/>
      <c r="G814" s="12"/>
      <c r="H814" s="12"/>
      <c r="I814" s="12"/>
      <c r="J814" s="12"/>
    </row>
    <row r="815" spans="4:10">
      <c r="D815" s="12"/>
      <c r="E815" s="12"/>
      <c r="F815" s="12"/>
      <c r="G815" s="12"/>
      <c r="H815" s="12"/>
      <c r="I815" s="12"/>
      <c r="J815" s="12"/>
    </row>
    <row r="816" spans="4:10">
      <c r="D816" s="12"/>
      <c r="E816" s="12"/>
      <c r="F816" s="12"/>
      <c r="G816" s="12"/>
      <c r="H816" s="12"/>
      <c r="I816" s="12"/>
      <c r="J816" s="12"/>
    </row>
    <row r="817" spans="4:10">
      <c r="D817" s="12"/>
      <c r="E817" s="12"/>
      <c r="F817" s="12"/>
      <c r="G817" s="12"/>
      <c r="H817" s="12"/>
      <c r="I817" s="12"/>
      <c r="J817" s="12"/>
    </row>
    <row r="818" spans="4:10">
      <c r="D818" s="12"/>
      <c r="E818" s="12"/>
      <c r="F818" s="12"/>
      <c r="G818" s="12"/>
      <c r="H818" s="12"/>
      <c r="I818" s="12"/>
      <c r="J818" s="12"/>
    </row>
    <row r="819" spans="4:10">
      <c r="D819" s="12"/>
      <c r="E819" s="12"/>
      <c r="F819" s="12"/>
      <c r="G819" s="12"/>
      <c r="H819" s="12"/>
      <c r="I819" s="12"/>
      <c r="J819" s="12"/>
    </row>
    <row r="820" spans="4:10">
      <c r="D820" s="12"/>
      <c r="E820" s="12"/>
      <c r="F820" s="12"/>
      <c r="G820" s="12"/>
      <c r="H820" s="12"/>
      <c r="I820" s="12"/>
      <c r="J820" s="12"/>
    </row>
    <row r="821" spans="4:10">
      <c r="D821" s="12"/>
      <c r="E821" s="12"/>
      <c r="F821" s="12"/>
      <c r="G821" s="12"/>
      <c r="H821" s="12"/>
      <c r="I821" s="12"/>
      <c r="J821" s="12"/>
    </row>
    <row r="822" spans="4:10">
      <c r="D822" s="12"/>
      <c r="E822" s="12"/>
      <c r="F822" s="12"/>
      <c r="G822" s="12"/>
      <c r="H822" s="12"/>
      <c r="I822" s="12"/>
      <c r="J822" s="12"/>
    </row>
    <row r="823" spans="4:10">
      <c r="D823" s="12"/>
      <c r="E823" s="12"/>
      <c r="F823" s="12"/>
      <c r="G823" s="12"/>
      <c r="H823" s="12"/>
      <c r="I823" s="12"/>
      <c r="J823" s="12"/>
    </row>
    <row r="824" spans="4:10">
      <c r="D824" s="12"/>
      <c r="E824" s="12"/>
      <c r="F824" s="12"/>
      <c r="G824" s="12"/>
      <c r="H824" s="12"/>
      <c r="I824" s="12"/>
      <c r="J824" s="12"/>
    </row>
    <row r="825" spans="4:10">
      <c r="D825" s="12"/>
      <c r="E825" s="12"/>
      <c r="F825" s="12"/>
      <c r="G825" s="12"/>
      <c r="H825" s="12"/>
      <c r="I825" s="12"/>
      <c r="J825" s="12"/>
    </row>
    <row r="826" spans="4:10">
      <c r="D826" s="12"/>
      <c r="E826" s="12"/>
      <c r="F826" s="12"/>
      <c r="G826" s="12"/>
      <c r="H826" s="12"/>
      <c r="I826" s="12"/>
      <c r="J826" s="12"/>
    </row>
    <row r="827" spans="4:10">
      <c r="D827" s="12"/>
      <c r="E827" s="12"/>
      <c r="F827" s="12"/>
      <c r="G827" s="12"/>
      <c r="H827" s="12"/>
      <c r="I827" s="12"/>
      <c r="J827" s="12"/>
    </row>
    <row r="828" spans="4:10">
      <c r="D828" s="12"/>
      <c r="E828" s="12"/>
      <c r="F828" s="12"/>
      <c r="G828" s="12"/>
      <c r="H828" s="12"/>
      <c r="I828" s="12"/>
      <c r="J828" s="12"/>
    </row>
    <row r="829" spans="4:10">
      <c r="D829" s="12"/>
      <c r="E829" s="12"/>
      <c r="F829" s="12"/>
      <c r="G829" s="12"/>
      <c r="H829" s="12"/>
      <c r="I829" s="12"/>
      <c r="J829" s="12"/>
    </row>
    <row r="830" spans="4:10">
      <c r="D830" s="12"/>
      <c r="E830" s="12"/>
      <c r="F830" s="12"/>
      <c r="G830" s="12"/>
      <c r="H830" s="12"/>
      <c r="I830" s="12"/>
      <c r="J830" s="12"/>
    </row>
    <row r="831" spans="4:10">
      <c r="D831" s="12"/>
      <c r="E831" s="12"/>
      <c r="F831" s="12"/>
      <c r="G831" s="12"/>
      <c r="H831" s="12"/>
      <c r="I831" s="12"/>
      <c r="J831" s="12"/>
    </row>
    <row r="832" spans="4:10">
      <c r="D832" s="12"/>
      <c r="E832" s="12"/>
      <c r="F832" s="12"/>
      <c r="G832" s="12"/>
      <c r="H832" s="12"/>
      <c r="I832" s="12"/>
      <c r="J832" s="12"/>
    </row>
    <row r="833" spans="4:10">
      <c r="D833" s="12"/>
      <c r="E833" s="12"/>
      <c r="F833" s="12"/>
      <c r="G833" s="12"/>
      <c r="H833" s="12"/>
      <c r="I833" s="12"/>
      <c r="J833" s="12"/>
    </row>
    <row r="834" spans="4:10">
      <c r="D834" s="12"/>
      <c r="E834" s="12"/>
      <c r="F834" s="12"/>
      <c r="G834" s="12"/>
      <c r="H834" s="12"/>
      <c r="I834" s="12"/>
      <c r="J834" s="12"/>
    </row>
    <row r="835" spans="4:10">
      <c r="D835" s="12"/>
      <c r="E835" s="12"/>
      <c r="F835" s="12"/>
      <c r="G835" s="12"/>
      <c r="H835" s="12"/>
      <c r="I835" s="12"/>
      <c r="J835" s="12"/>
    </row>
    <row r="836" spans="4:10">
      <c r="D836" s="12"/>
      <c r="E836" s="12"/>
      <c r="F836" s="12"/>
      <c r="G836" s="12"/>
      <c r="H836" s="12"/>
      <c r="I836" s="12"/>
      <c r="J836" s="12"/>
    </row>
    <row r="837" spans="4:10">
      <c r="D837" s="12"/>
      <c r="E837" s="12"/>
      <c r="F837" s="12"/>
      <c r="G837" s="12"/>
      <c r="H837" s="12"/>
      <c r="I837" s="12"/>
      <c r="J837" s="12"/>
    </row>
    <row r="838" spans="4:10">
      <c r="D838" s="12"/>
      <c r="E838" s="12"/>
      <c r="F838" s="12"/>
      <c r="G838" s="12"/>
      <c r="H838" s="12"/>
      <c r="I838" s="12"/>
      <c r="J838" s="12"/>
    </row>
    <row r="839" spans="4:10">
      <c r="D839" s="12"/>
      <c r="E839" s="12"/>
      <c r="F839" s="12"/>
      <c r="G839" s="12"/>
      <c r="H839" s="12"/>
      <c r="I839" s="12"/>
      <c r="J839" s="12"/>
    </row>
    <row r="840" spans="4:10">
      <c r="D840" s="12"/>
      <c r="E840" s="12"/>
      <c r="F840" s="12"/>
      <c r="G840" s="12"/>
      <c r="H840" s="12"/>
      <c r="I840" s="12"/>
      <c r="J840" s="12"/>
    </row>
    <row r="841" spans="4:10">
      <c r="D841" s="12"/>
      <c r="E841" s="12"/>
      <c r="F841" s="12"/>
      <c r="G841" s="12"/>
      <c r="H841" s="12"/>
      <c r="I841" s="12"/>
      <c r="J841" s="12"/>
    </row>
    <row r="842" spans="4:10">
      <c r="D842" s="12"/>
      <c r="E842" s="12"/>
      <c r="F842" s="12"/>
      <c r="G842" s="12"/>
      <c r="H842" s="12"/>
      <c r="I842" s="12"/>
      <c r="J842" s="12"/>
    </row>
    <row r="843" spans="4:10">
      <c r="D843" s="12"/>
      <c r="E843" s="12"/>
      <c r="F843" s="12"/>
      <c r="G843" s="12"/>
      <c r="H843" s="12"/>
      <c r="I843" s="12"/>
      <c r="J843" s="12"/>
    </row>
    <row r="844" spans="4:10">
      <c r="D844" s="12"/>
      <c r="E844" s="12"/>
      <c r="F844" s="12"/>
      <c r="G844" s="12"/>
      <c r="H844" s="12"/>
      <c r="I844" s="12"/>
      <c r="J844" s="12"/>
    </row>
    <row r="845" spans="4:10">
      <c r="D845" s="12"/>
      <c r="E845" s="12"/>
      <c r="F845" s="12"/>
      <c r="G845" s="12"/>
      <c r="H845" s="12"/>
      <c r="I845" s="12"/>
      <c r="J845" s="12"/>
    </row>
    <row r="846" spans="4:10">
      <c r="D846" s="12"/>
      <c r="E846" s="12"/>
      <c r="F846" s="12"/>
      <c r="G846" s="12"/>
      <c r="H846" s="12"/>
      <c r="I846" s="12"/>
      <c r="J846" s="12"/>
    </row>
    <row r="847" spans="4:10">
      <c r="D847" s="12"/>
      <c r="E847" s="12"/>
      <c r="F847" s="12"/>
      <c r="G847" s="12"/>
      <c r="H847" s="12"/>
      <c r="I847" s="12"/>
      <c r="J847" s="12"/>
    </row>
    <row r="848" spans="4:10">
      <c r="D848" s="12"/>
      <c r="E848" s="12"/>
      <c r="F848" s="12"/>
      <c r="G848" s="12"/>
      <c r="H848" s="12"/>
      <c r="I848" s="12"/>
      <c r="J848" s="12"/>
    </row>
    <row r="849" spans="4:10">
      <c r="D849" s="12"/>
      <c r="E849" s="12"/>
      <c r="F849" s="12"/>
      <c r="G849" s="12"/>
      <c r="H849" s="12"/>
      <c r="I849" s="12"/>
      <c r="J849" s="12"/>
    </row>
    <row r="850" spans="4:10">
      <c r="D850" s="12"/>
      <c r="E850" s="12"/>
      <c r="F850" s="12"/>
      <c r="G850" s="12"/>
      <c r="H850" s="12"/>
      <c r="I850" s="12"/>
      <c r="J850" s="12"/>
    </row>
    <row r="851" spans="4:10">
      <c r="D851" s="12"/>
      <c r="E851" s="12"/>
      <c r="F851" s="12"/>
      <c r="G851" s="12"/>
      <c r="H851" s="12"/>
      <c r="I851" s="12"/>
      <c r="J851" s="12"/>
    </row>
    <row r="852" spans="4:10">
      <c r="D852" s="12"/>
      <c r="E852" s="12"/>
      <c r="F852" s="12"/>
      <c r="G852" s="12"/>
      <c r="H852" s="12"/>
      <c r="I852" s="12"/>
      <c r="J852" s="12"/>
    </row>
    <row r="853" spans="4:10">
      <c r="D853" s="12"/>
      <c r="E853" s="12"/>
      <c r="F853" s="12"/>
      <c r="G853" s="12"/>
      <c r="H853" s="12"/>
      <c r="I853" s="12"/>
      <c r="J853" s="12"/>
    </row>
    <row r="854" spans="4:10">
      <c r="D854" s="12"/>
      <c r="E854" s="12"/>
      <c r="F854" s="12"/>
      <c r="G854" s="12"/>
      <c r="H854" s="12"/>
      <c r="I854" s="12"/>
      <c r="J854" s="12"/>
    </row>
    <row r="855" spans="4:10">
      <c r="D855" s="12"/>
      <c r="E855" s="12"/>
      <c r="F855" s="12"/>
      <c r="G855" s="12"/>
      <c r="H855" s="12"/>
      <c r="I855" s="12"/>
      <c r="J855" s="12"/>
    </row>
    <row r="856" spans="4:10">
      <c r="D856" s="12"/>
      <c r="E856" s="12"/>
      <c r="F856" s="12"/>
      <c r="G856" s="12"/>
      <c r="H856" s="12"/>
      <c r="I856" s="12"/>
      <c r="J856" s="12"/>
    </row>
    <row r="857" spans="4:10">
      <c r="D857" s="12"/>
      <c r="E857" s="12"/>
      <c r="F857" s="12"/>
      <c r="G857" s="12"/>
      <c r="H857" s="12"/>
      <c r="I857" s="12"/>
      <c r="J857" s="12"/>
    </row>
    <row r="858" spans="4:10">
      <c r="D858" s="12"/>
      <c r="E858" s="12"/>
      <c r="F858" s="12"/>
      <c r="G858" s="12"/>
      <c r="H858" s="12"/>
      <c r="I858" s="12"/>
      <c r="J858" s="12"/>
    </row>
    <row r="859" spans="4:10">
      <c r="D859" s="12"/>
      <c r="E859" s="12"/>
      <c r="F859" s="12"/>
      <c r="G859" s="12"/>
      <c r="H859" s="12"/>
      <c r="I859" s="12"/>
      <c r="J859" s="12"/>
    </row>
    <row r="860" spans="4:10">
      <c r="D860" s="12"/>
      <c r="E860" s="12"/>
      <c r="F860" s="12"/>
      <c r="G860" s="12"/>
      <c r="H860" s="12"/>
      <c r="I860" s="12"/>
      <c r="J860" s="12"/>
    </row>
    <row r="861" spans="4:10">
      <c r="D861" s="12"/>
      <c r="E861" s="12"/>
      <c r="F861" s="12"/>
      <c r="G861" s="12"/>
      <c r="H861" s="12"/>
      <c r="I861" s="12"/>
      <c r="J861" s="12"/>
    </row>
    <row r="862" spans="4:10">
      <c r="D862" s="12"/>
      <c r="E862" s="12"/>
      <c r="F862" s="12"/>
      <c r="G862" s="12"/>
      <c r="H862" s="12"/>
      <c r="I862" s="12"/>
      <c r="J862" s="12"/>
    </row>
    <row r="863" spans="4:10">
      <c r="D863" s="12"/>
      <c r="E863" s="12"/>
      <c r="F863" s="12"/>
      <c r="G863" s="12"/>
      <c r="H863" s="12"/>
      <c r="I863" s="12"/>
      <c r="J863" s="12"/>
    </row>
    <row r="864" spans="4:10">
      <c r="D864" s="12"/>
      <c r="E864" s="12"/>
      <c r="F864" s="12"/>
      <c r="G864" s="12"/>
      <c r="H864" s="12"/>
      <c r="I864" s="12"/>
      <c r="J864" s="12"/>
    </row>
    <row r="865" spans="4:10">
      <c r="D865" s="12"/>
      <c r="E865" s="12"/>
      <c r="F865" s="12"/>
      <c r="G865" s="12"/>
      <c r="H865" s="12"/>
      <c r="I865" s="12"/>
      <c r="J865" s="12"/>
    </row>
    <row r="866" spans="4:10">
      <c r="D866" s="12"/>
      <c r="E866" s="12"/>
      <c r="F866" s="12"/>
      <c r="G866" s="12"/>
      <c r="H866" s="12"/>
      <c r="I866" s="12"/>
      <c r="J866" s="12"/>
    </row>
    <row r="867" spans="4:10">
      <c r="D867" s="12"/>
      <c r="E867" s="12"/>
      <c r="F867" s="12"/>
      <c r="G867" s="12"/>
      <c r="H867" s="12"/>
      <c r="I867" s="12"/>
      <c r="J867" s="12"/>
    </row>
    <row r="868" spans="4:10">
      <c r="D868" s="12"/>
      <c r="E868" s="12"/>
      <c r="F868" s="12"/>
      <c r="G868" s="12"/>
      <c r="H868" s="12"/>
      <c r="I868" s="12"/>
      <c r="J868" s="12"/>
    </row>
    <row r="869" spans="4:10">
      <c r="D869" s="12"/>
      <c r="E869" s="12"/>
      <c r="F869" s="12"/>
      <c r="G869" s="12"/>
      <c r="H869" s="12"/>
      <c r="I869" s="12"/>
      <c r="J869" s="12"/>
    </row>
    <row r="870" spans="4:10">
      <c r="D870" s="12"/>
      <c r="E870" s="12"/>
      <c r="F870" s="12"/>
      <c r="G870" s="12"/>
      <c r="H870" s="12"/>
      <c r="I870" s="12"/>
      <c r="J870" s="12"/>
    </row>
    <row r="871" spans="4:10">
      <c r="D871" s="12"/>
      <c r="E871" s="12"/>
      <c r="F871" s="12"/>
      <c r="G871" s="12"/>
      <c r="H871" s="12"/>
      <c r="I871" s="12"/>
      <c r="J871" s="12"/>
    </row>
    <row r="872" spans="4:10">
      <c r="D872" s="12"/>
      <c r="E872" s="12"/>
      <c r="F872" s="12"/>
      <c r="G872" s="12"/>
      <c r="H872" s="12"/>
      <c r="I872" s="12"/>
      <c r="J872" s="12"/>
    </row>
    <row r="873" spans="4:10">
      <c r="D873" s="12"/>
      <c r="E873" s="12"/>
      <c r="F873" s="12"/>
      <c r="G873" s="12"/>
      <c r="H873" s="12"/>
      <c r="I873" s="12"/>
      <c r="J873" s="12"/>
    </row>
    <row r="874" spans="4:10">
      <c r="D874" s="12"/>
      <c r="E874" s="12"/>
      <c r="F874" s="12"/>
      <c r="G874" s="12"/>
      <c r="H874" s="12"/>
      <c r="I874" s="12"/>
      <c r="J874" s="12"/>
    </row>
    <row r="875" spans="4:10">
      <c r="D875" s="12"/>
      <c r="E875" s="12"/>
      <c r="F875" s="12"/>
      <c r="G875" s="12"/>
      <c r="H875" s="12"/>
      <c r="I875" s="12"/>
      <c r="J875" s="12"/>
    </row>
    <row r="876" spans="4:10">
      <c r="D876" s="12"/>
      <c r="E876" s="12"/>
      <c r="F876" s="12"/>
      <c r="G876" s="12"/>
      <c r="H876" s="12"/>
      <c r="I876" s="12"/>
      <c r="J876" s="12"/>
    </row>
    <row r="877" spans="4:10">
      <c r="D877" s="12"/>
      <c r="E877" s="12"/>
      <c r="F877" s="12"/>
      <c r="G877" s="12"/>
      <c r="H877" s="12"/>
      <c r="I877" s="12"/>
      <c r="J877" s="12"/>
    </row>
    <row r="878" spans="4:10">
      <c r="D878" s="12"/>
      <c r="E878" s="12"/>
      <c r="F878" s="12"/>
      <c r="G878" s="12"/>
      <c r="H878" s="12"/>
      <c r="I878" s="12"/>
      <c r="J878" s="12"/>
    </row>
    <row r="879" spans="4:10">
      <c r="D879" s="12"/>
      <c r="E879" s="12"/>
      <c r="F879" s="12"/>
      <c r="G879" s="12"/>
      <c r="H879" s="12"/>
      <c r="I879" s="12"/>
      <c r="J879" s="12"/>
    </row>
    <row r="880" spans="4:10">
      <c r="D880" s="12"/>
      <c r="E880" s="12"/>
      <c r="F880" s="12"/>
      <c r="G880" s="12"/>
      <c r="H880" s="12"/>
      <c r="I880" s="12"/>
      <c r="J880" s="12"/>
    </row>
    <row r="881" spans="4:10">
      <c r="D881" s="12"/>
      <c r="E881" s="12"/>
      <c r="F881" s="12"/>
      <c r="G881" s="12"/>
      <c r="H881" s="12"/>
      <c r="I881" s="12"/>
      <c r="J881" s="12"/>
    </row>
    <row r="882" spans="4:10">
      <c r="D882" s="12"/>
      <c r="E882" s="12"/>
      <c r="F882" s="12"/>
      <c r="G882" s="12"/>
      <c r="H882" s="12"/>
      <c r="I882" s="12"/>
      <c r="J882" s="12"/>
    </row>
    <row r="883" spans="4:10">
      <c r="D883" s="12"/>
      <c r="E883" s="12"/>
      <c r="F883" s="12"/>
      <c r="G883" s="12"/>
      <c r="H883" s="12"/>
      <c r="I883" s="12"/>
      <c r="J883" s="12"/>
    </row>
    <row r="884" spans="4:10">
      <c r="D884" s="12"/>
      <c r="E884" s="12"/>
      <c r="F884" s="12"/>
      <c r="G884" s="12"/>
      <c r="H884" s="12"/>
      <c r="I884" s="12"/>
      <c r="J884" s="12"/>
    </row>
    <row r="885" spans="4:10">
      <c r="D885" s="12"/>
      <c r="E885" s="12"/>
      <c r="F885" s="12"/>
      <c r="G885" s="12"/>
      <c r="H885" s="12"/>
      <c r="I885" s="12"/>
      <c r="J885" s="12"/>
    </row>
    <row r="886" spans="4:10">
      <c r="D886" s="12"/>
      <c r="E886" s="12"/>
      <c r="F886" s="12"/>
      <c r="G886" s="12"/>
      <c r="H886" s="12"/>
      <c r="I886" s="12"/>
      <c r="J886" s="12"/>
    </row>
    <row r="887" spans="4:10">
      <c r="D887" s="12"/>
      <c r="E887" s="12"/>
      <c r="F887" s="12"/>
      <c r="G887" s="12"/>
      <c r="H887" s="12"/>
      <c r="I887" s="12"/>
      <c r="J887" s="12"/>
    </row>
    <row r="888" spans="4:10">
      <c r="D888" s="12"/>
      <c r="E888" s="12"/>
      <c r="F888" s="12"/>
      <c r="G888" s="12"/>
      <c r="H888" s="12"/>
      <c r="I888" s="12"/>
      <c r="J888" s="12"/>
    </row>
    <row r="889" spans="4:10">
      <c r="D889" s="12"/>
      <c r="E889" s="12"/>
      <c r="F889" s="12"/>
      <c r="G889" s="12"/>
      <c r="H889" s="12"/>
      <c r="I889" s="12"/>
      <c r="J889" s="12"/>
    </row>
    <row r="890" spans="4:10">
      <c r="D890" s="12"/>
      <c r="E890" s="12"/>
      <c r="F890" s="12"/>
      <c r="G890" s="12"/>
      <c r="H890" s="12"/>
      <c r="I890" s="12"/>
      <c r="J890" s="12"/>
    </row>
    <row r="891" spans="4:10">
      <c r="D891" s="12"/>
      <c r="E891" s="12"/>
      <c r="F891" s="12"/>
      <c r="G891" s="12"/>
      <c r="H891" s="12"/>
      <c r="I891" s="12"/>
      <c r="J891" s="12"/>
    </row>
    <row r="892" spans="4:10">
      <c r="D892" s="12"/>
      <c r="E892" s="12"/>
      <c r="F892" s="12"/>
      <c r="G892" s="12"/>
      <c r="H892" s="12"/>
      <c r="I892" s="12"/>
      <c r="J892" s="12"/>
    </row>
    <row r="893" spans="4:10">
      <c r="D893" s="12"/>
      <c r="E893" s="12"/>
      <c r="F893" s="12"/>
      <c r="G893" s="12"/>
      <c r="H893" s="12"/>
      <c r="I893" s="12"/>
      <c r="J893" s="12"/>
    </row>
    <row r="894" spans="4:10">
      <c r="D894" s="12"/>
      <c r="E894" s="12"/>
      <c r="F894" s="12"/>
      <c r="G894" s="12"/>
      <c r="H894" s="12"/>
      <c r="I894" s="12"/>
      <c r="J894" s="12"/>
    </row>
    <row r="895" spans="4:10">
      <c r="D895" s="12"/>
      <c r="E895" s="12"/>
      <c r="F895" s="12"/>
      <c r="G895" s="12"/>
      <c r="H895" s="12"/>
      <c r="I895" s="12"/>
      <c r="J895" s="12"/>
    </row>
    <row r="896" spans="4:10">
      <c r="D896" s="12"/>
      <c r="E896" s="12"/>
      <c r="F896" s="12"/>
      <c r="G896" s="12"/>
      <c r="H896" s="12"/>
      <c r="I896" s="12"/>
      <c r="J896" s="12"/>
    </row>
    <row r="897" spans="4:10">
      <c r="D897" s="12"/>
      <c r="E897" s="12"/>
      <c r="F897" s="12"/>
      <c r="G897" s="12"/>
      <c r="H897" s="12"/>
      <c r="I897" s="12"/>
      <c r="J897" s="12"/>
    </row>
    <row r="898" spans="4:10">
      <c r="D898" s="12"/>
      <c r="E898" s="12"/>
      <c r="F898" s="12"/>
      <c r="G898" s="12"/>
      <c r="H898" s="12"/>
      <c r="I898" s="12"/>
      <c r="J898" s="12"/>
    </row>
    <row r="899" spans="4:10">
      <c r="D899" s="12"/>
      <c r="E899" s="12"/>
      <c r="F899" s="12"/>
      <c r="G899" s="12"/>
      <c r="H899" s="12"/>
      <c r="I899" s="12"/>
      <c r="J899" s="12"/>
    </row>
    <row r="900" spans="4:10">
      <c r="D900" s="12"/>
      <c r="E900" s="12"/>
      <c r="F900" s="12"/>
      <c r="G900" s="12"/>
      <c r="H900" s="12"/>
      <c r="I900" s="12"/>
      <c r="J900" s="12"/>
    </row>
    <row r="901" spans="4:10">
      <c r="D901" s="12"/>
      <c r="E901" s="12"/>
      <c r="F901" s="12"/>
      <c r="G901" s="12"/>
      <c r="H901" s="12"/>
      <c r="I901" s="12"/>
      <c r="J901" s="12"/>
    </row>
    <row r="902" spans="4:10">
      <c r="D902" s="12"/>
      <c r="E902" s="12"/>
      <c r="F902" s="12"/>
      <c r="G902" s="12"/>
      <c r="H902" s="12"/>
      <c r="I902" s="12"/>
      <c r="J902" s="12"/>
    </row>
    <row r="903" spans="4:10">
      <c r="D903" s="12"/>
      <c r="E903" s="12"/>
      <c r="F903" s="12"/>
      <c r="G903" s="12"/>
      <c r="H903" s="12"/>
      <c r="I903" s="12"/>
      <c r="J903" s="12"/>
    </row>
    <row r="904" spans="4:10">
      <c r="D904" s="12"/>
      <c r="E904" s="12"/>
      <c r="F904" s="12"/>
      <c r="G904" s="12"/>
      <c r="H904" s="12"/>
      <c r="I904" s="12"/>
      <c r="J904" s="12"/>
    </row>
    <row r="905" spans="4:10">
      <c r="D905" s="12"/>
      <c r="E905" s="12"/>
      <c r="F905" s="12"/>
      <c r="G905" s="12"/>
      <c r="H905" s="12"/>
      <c r="I905" s="12"/>
      <c r="J905" s="12"/>
    </row>
    <row r="906" spans="4:10">
      <c r="D906" s="12"/>
      <c r="E906" s="12"/>
      <c r="F906" s="12"/>
      <c r="G906" s="12"/>
      <c r="H906" s="12"/>
      <c r="I906" s="12"/>
      <c r="J906" s="12"/>
    </row>
    <row r="907" spans="4:10">
      <c r="D907" s="12"/>
      <c r="E907" s="12"/>
      <c r="F907" s="12"/>
      <c r="G907" s="12"/>
      <c r="H907" s="12"/>
      <c r="I907" s="12"/>
      <c r="J907" s="12"/>
    </row>
    <row r="908" spans="4:10">
      <c r="D908" s="12"/>
      <c r="E908" s="12"/>
      <c r="F908" s="12"/>
      <c r="G908" s="12"/>
      <c r="H908" s="12"/>
      <c r="I908" s="12"/>
      <c r="J908" s="12"/>
    </row>
    <row r="909" spans="4:10">
      <c r="D909" s="12"/>
      <c r="E909" s="12"/>
      <c r="F909" s="12"/>
      <c r="G909" s="12"/>
      <c r="H909" s="12"/>
      <c r="I909" s="12"/>
      <c r="J909" s="12"/>
    </row>
    <row r="910" spans="4:10">
      <c r="D910" s="12"/>
      <c r="E910" s="12"/>
      <c r="F910" s="12"/>
      <c r="G910" s="12"/>
      <c r="H910" s="12"/>
      <c r="I910" s="12"/>
      <c r="J910" s="12"/>
    </row>
    <row r="911" spans="4:10">
      <c r="D911" s="12"/>
      <c r="E911" s="12"/>
      <c r="F911" s="12"/>
      <c r="G911" s="12"/>
      <c r="H911" s="12"/>
      <c r="I911" s="12"/>
      <c r="J911" s="12"/>
    </row>
    <row r="912" spans="4:10">
      <c r="D912" s="12"/>
      <c r="E912" s="12"/>
      <c r="F912" s="12"/>
      <c r="G912" s="12"/>
      <c r="H912" s="12"/>
      <c r="I912" s="12"/>
      <c r="J912" s="12"/>
    </row>
    <row r="913" spans="4:10">
      <c r="D913" s="12"/>
      <c r="E913" s="12"/>
      <c r="F913" s="12"/>
      <c r="G913" s="12"/>
      <c r="H913" s="12"/>
      <c r="I913" s="12"/>
      <c r="J913" s="12"/>
    </row>
    <row r="914" spans="4:10">
      <c r="D914" s="12"/>
      <c r="E914" s="12"/>
      <c r="F914" s="12"/>
      <c r="G914" s="12"/>
      <c r="H914" s="12"/>
      <c r="I914" s="12"/>
      <c r="J914" s="12"/>
    </row>
    <row r="915" spans="4:10">
      <c r="D915" s="12"/>
      <c r="E915" s="12"/>
      <c r="F915" s="12"/>
      <c r="G915" s="12"/>
      <c r="H915" s="12"/>
      <c r="I915" s="12"/>
      <c r="J915" s="12"/>
    </row>
    <row r="916" spans="4:10">
      <c r="D916" s="12"/>
      <c r="E916" s="12"/>
      <c r="F916" s="12"/>
      <c r="G916" s="12"/>
      <c r="H916" s="12"/>
      <c r="I916" s="12"/>
      <c r="J916" s="12"/>
    </row>
    <row r="917" spans="4:10">
      <c r="D917" s="12"/>
      <c r="E917" s="12"/>
      <c r="F917" s="12"/>
      <c r="G917" s="12"/>
      <c r="H917" s="12"/>
      <c r="I917" s="12"/>
      <c r="J917" s="12"/>
    </row>
    <row r="918" spans="4:10">
      <c r="D918" s="12"/>
      <c r="E918" s="12"/>
      <c r="F918" s="12"/>
      <c r="G918" s="12"/>
      <c r="H918" s="12"/>
      <c r="I918" s="12"/>
      <c r="J918" s="12"/>
    </row>
    <row r="919" spans="4:10">
      <c r="D919" s="12"/>
      <c r="E919" s="12"/>
      <c r="F919" s="12"/>
      <c r="G919" s="12"/>
      <c r="H919" s="12"/>
      <c r="I919" s="12"/>
      <c r="J919" s="12"/>
    </row>
    <row r="920" spans="4:10">
      <c r="D920" s="12"/>
      <c r="E920" s="12"/>
      <c r="F920" s="12"/>
      <c r="G920" s="12"/>
      <c r="H920" s="12"/>
      <c r="I920" s="12"/>
      <c r="J920" s="12"/>
    </row>
    <row r="921" spans="4:10">
      <c r="D921" s="12"/>
      <c r="E921" s="12"/>
      <c r="F921" s="12"/>
      <c r="G921" s="12"/>
      <c r="H921" s="12"/>
      <c r="I921" s="12"/>
      <c r="J921" s="12"/>
    </row>
    <row r="922" spans="4:10">
      <c r="D922" s="12"/>
      <c r="E922" s="12"/>
      <c r="F922" s="12"/>
      <c r="G922" s="12"/>
      <c r="H922" s="12"/>
      <c r="I922" s="12"/>
      <c r="J922" s="12"/>
    </row>
    <row r="923" spans="4:10">
      <c r="D923" s="12"/>
      <c r="E923" s="12"/>
      <c r="F923" s="12"/>
      <c r="G923" s="12"/>
      <c r="H923" s="12"/>
      <c r="I923" s="12"/>
      <c r="J923" s="12"/>
    </row>
    <row r="924" spans="4:10">
      <c r="D924" s="12"/>
      <c r="E924" s="12"/>
      <c r="F924" s="12"/>
      <c r="G924" s="12"/>
      <c r="H924" s="12"/>
      <c r="I924" s="12"/>
      <c r="J924" s="12"/>
    </row>
    <row r="925" spans="4:10">
      <c r="D925" s="12"/>
      <c r="E925" s="12"/>
      <c r="F925" s="12"/>
      <c r="G925" s="12"/>
      <c r="H925" s="12"/>
      <c r="I925" s="12"/>
      <c r="J925" s="12"/>
    </row>
    <row r="926" spans="4:10">
      <c r="D926" s="12"/>
      <c r="E926" s="12"/>
      <c r="F926" s="12"/>
      <c r="G926" s="12"/>
      <c r="H926" s="12"/>
      <c r="I926" s="12"/>
      <c r="J926" s="12"/>
    </row>
    <row r="927" spans="4:10">
      <c r="D927" s="12"/>
      <c r="E927" s="12"/>
      <c r="F927" s="12"/>
      <c r="G927" s="12"/>
      <c r="H927" s="12"/>
      <c r="I927" s="12"/>
      <c r="J927" s="12"/>
    </row>
    <row r="928" spans="4:10">
      <c r="D928" s="12"/>
      <c r="E928" s="12"/>
      <c r="F928" s="12"/>
      <c r="G928" s="12"/>
      <c r="H928" s="12"/>
      <c r="I928" s="12"/>
      <c r="J928" s="12"/>
    </row>
    <row r="929" spans="4:10">
      <c r="D929" s="12"/>
      <c r="E929" s="12"/>
      <c r="F929" s="12"/>
      <c r="G929" s="12"/>
      <c r="H929" s="12"/>
      <c r="I929" s="12"/>
      <c r="J929" s="12"/>
    </row>
    <row r="930" spans="4:10">
      <c r="D930" s="12"/>
      <c r="E930" s="12"/>
      <c r="F930" s="12"/>
      <c r="G930" s="12"/>
      <c r="H930" s="12"/>
      <c r="I930" s="12"/>
      <c r="J930" s="12"/>
    </row>
    <row r="931" spans="4:10">
      <c r="D931" s="12"/>
      <c r="E931" s="12"/>
      <c r="F931" s="12"/>
      <c r="G931" s="12"/>
      <c r="H931" s="12"/>
      <c r="I931" s="12"/>
      <c r="J931" s="12"/>
    </row>
    <row r="932" spans="4:10">
      <c r="D932" s="12"/>
      <c r="E932" s="12"/>
      <c r="F932" s="12"/>
      <c r="G932" s="12"/>
      <c r="H932" s="12"/>
      <c r="I932" s="12"/>
      <c r="J932" s="12"/>
    </row>
    <row r="933" spans="4:10">
      <c r="D933" s="12"/>
      <c r="E933" s="12"/>
      <c r="F933" s="12"/>
      <c r="G933" s="12"/>
      <c r="H933" s="12"/>
      <c r="I933" s="12"/>
      <c r="J933" s="12"/>
    </row>
    <row r="934" spans="4:10">
      <c r="D934" s="12"/>
      <c r="E934" s="12"/>
      <c r="F934" s="12"/>
      <c r="G934" s="12"/>
      <c r="H934" s="12"/>
      <c r="I934" s="12"/>
      <c r="J934" s="12"/>
    </row>
    <row r="935" spans="4:10">
      <c r="D935" s="12"/>
      <c r="E935" s="12"/>
      <c r="F935" s="12"/>
      <c r="G935" s="12"/>
      <c r="H935" s="12"/>
      <c r="I935" s="12"/>
      <c r="J935" s="12"/>
    </row>
    <row r="936" spans="4:10">
      <c r="D936" s="12"/>
      <c r="E936" s="12"/>
      <c r="F936" s="12"/>
      <c r="G936" s="12"/>
      <c r="H936" s="12"/>
      <c r="I936" s="12"/>
      <c r="J936" s="12"/>
    </row>
    <row r="937" spans="4:10">
      <c r="D937" s="12"/>
      <c r="E937" s="12"/>
      <c r="F937" s="12"/>
      <c r="G937" s="12"/>
      <c r="H937" s="12"/>
      <c r="I937" s="12"/>
      <c r="J937" s="12"/>
    </row>
    <row r="938" spans="4:10">
      <c r="D938" s="12"/>
      <c r="E938" s="12"/>
      <c r="F938" s="12"/>
      <c r="G938" s="12"/>
      <c r="H938" s="12"/>
      <c r="I938" s="12"/>
      <c r="J938" s="12"/>
    </row>
    <row r="939" spans="4:10">
      <c r="D939" s="12"/>
      <c r="E939" s="12"/>
      <c r="F939" s="12"/>
      <c r="G939" s="12"/>
      <c r="H939" s="12"/>
      <c r="I939" s="12"/>
      <c r="J939" s="12"/>
    </row>
    <row r="940" spans="4:10">
      <c r="D940" s="12"/>
      <c r="E940" s="12"/>
      <c r="F940" s="12"/>
      <c r="G940" s="12"/>
      <c r="H940" s="12"/>
      <c r="I940" s="12"/>
      <c r="J940" s="12"/>
    </row>
    <row r="941" spans="4:10">
      <c r="D941" s="12"/>
      <c r="E941" s="12"/>
      <c r="F941" s="12"/>
      <c r="G941" s="12"/>
      <c r="H941" s="12"/>
      <c r="I941" s="12"/>
      <c r="J941" s="12"/>
    </row>
    <row r="942" spans="4:10">
      <c r="D942" s="12"/>
      <c r="E942" s="12"/>
      <c r="F942" s="12"/>
      <c r="G942" s="12"/>
      <c r="H942" s="12"/>
      <c r="I942" s="12"/>
      <c r="J942" s="12"/>
    </row>
    <row r="943" spans="4:10">
      <c r="D943" s="12"/>
      <c r="E943" s="12"/>
      <c r="F943" s="12"/>
      <c r="G943" s="12"/>
      <c r="H943" s="12"/>
      <c r="I943" s="12"/>
      <c r="J943" s="12"/>
    </row>
    <row r="944" spans="4:10">
      <c r="D944" s="12"/>
      <c r="E944" s="12"/>
      <c r="F944" s="12"/>
      <c r="G944" s="12"/>
      <c r="H944" s="12"/>
      <c r="I944" s="12"/>
      <c r="J944" s="12"/>
    </row>
    <row r="945" spans="4:10">
      <c r="D945" s="12"/>
      <c r="E945" s="12"/>
      <c r="F945" s="12"/>
      <c r="G945" s="12"/>
      <c r="H945" s="12"/>
      <c r="I945" s="12"/>
      <c r="J945" s="12"/>
    </row>
    <row r="946" spans="4:10">
      <c r="D946" s="12"/>
      <c r="E946" s="12"/>
      <c r="F946" s="12"/>
      <c r="G946" s="12"/>
      <c r="H946" s="12"/>
      <c r="I946" s="12"/>
      <c r="J946" s="12"/>
    </row>
    <row r="947" spans="4:10">
      <c r="D947" s="12"/>
      <c r="E947" s="12"/>
      <c r="F947" s="12"/>
      <c r="G947" s="12"/>
      <c r="H947" s="12"/>
      <c r="I947" s="12"/>
      <c r="J947" s="12"/>
    </row>
    <row r="948" spans="4:10">
      <c r="D948" s="12"/>
      <c r="E948" s="12"/>
      <c r="F948" s="12"/>
      <c r="G948" s="12"/>
      <c r="H948" s="12"/>
      <c r="I948" s="12"/>
      <c r="J948" s="12"/>
    </row>
    <row r="949" spans="4:10">
      <c r="D949" s="12"/>
      <c r="E949" s="12"/>
      <c r="F949" s="12"/>
      <c r="G949" s="12"/>
      <c r="H949" s="12"/>
      <c r="I949" s="12"/>
      <c r="J949" s="12"/>
    </row>
    <row r="950" spans="4:10">
      <c r="D950" s="12"/>
      <c r="E950" s="12"/>
      <c r="F950" s="12"/>
      <c r="G950" s="12"/>
      <c r="H950" s="12"/>
      <c r="I950" s="12"/>
      <c r="J950" s="12"/>
    </row>
    <row r="951" spans="4:10">
      <c r="D951" s="12"/>
      <c r="E951" s="12"/>
      <c r="F951" s="12"/>
      <c r="G951" s="12"/>
      <c r="H951" s="12"/>
      <c r="I951" s="12"/>
      <c r="J951" s="12"/>
    </row>
    <row r="952" spans="4:10">
      <c r="D952" s="12"/>
      <c r="E952" s="12"/>
      <c r="F952" s="12"/>
      <c r="G952" s="12"/>
      <c r="H952" s="12"/>
      <c r="I952" s="12"/>
      <c r="J952" s="12"/>
    </row>
    <row r="953" spans="4:10">
      <c r="D953" s="12"/>
      <c r="E953" s="12"/>
      <c r="F953" s="12"/>
      <c r="G953" s="12"/>
      <c r="H953" s="12"/>
      <c r="I953" s="12"/>
      <c r="J953" s="12"/>
    </row>
    <row r="954" spans="4:10">
      <c r="D954" s="12"/>
      <c r="E954" s="12"/>
      <c r="F954" s="12"/>
      <c r="G954" s="12"/>
      <c r="H954" s="12"/>
      <c r="I954" s="12"/>
      <c r="J954" s="12"/>
    </row>
    <row r="955" spans="4:10">
      <c r="D955" s="12"/>
      <c r="E955" s="12"/>
      <c r="F955" s="12"/>
      <c r="G955" s="12"/>
      <c r="H955" s="12"/>
      <c r="I955" s="12"/>
      <c r="J955" s="12"/>
    </row>
    <row r="956" spans="4:10">
      <c r="D956" s="12"/>
      <c r="E956" s="12"/>
      <c r="F956" s="12"/>
      <c r="G956" s="12"/>
      <c r="H956" s="12"/>
      <c r="I956" s="12"/>
      <c r="J956" s="12"/>
    </row>
    <row r="957" spans="4:10">
      <c r="D957" s="12"/>
      <c r="E957" s="12"/>
      <c r="F957" s="12"/>
      <c r="G957" s="12"/>
      <c r="H957" s="12"/>
      <c r="I957" s="12"/>
      <c r="J957" s="12"/>
    </row>
    <row r="958" spans="4:10">
      <c r="D958" s="12"/>
      <c r="E958" s="12"/>
      <c r="F958" s="12"/>
      <c r="G958" s="12"/>
      <c r="H958" s="12"/>
      <c r="I958" s="12"/>
      <c r="J958" s="12"/>
    </row>
    <row r="959" spans="4:10">
      <c r="D959" s="12"/>
      <c r="E959" s="12"/>
      <c r="F959" s="12"/>
      <c r="G959" s="12"/>
      <c r="H959" s="12"/>
      <c r="I959" s="12"/>
      <c r="J959" s="12"/>
    </row>
    <row r="960" spans="4:10">
      <c r="D960" s="12"/>
      <c r="E960" s="12"/>
      <c r="F960" s="12"/>
      <c r="G960" s="12"/>
      <c r="H960" s="12"/>
      <c r="I960" s="12"/>
      <c r="J960" s="12"/>
    </row>
    <row r="961" spans="4:10">
      <c r="D961" s="12"/>
      <c r="E961" s="12"/>
      <c r="F961" s="12"/>
      <c r="G961" s="12"/>
      <c r="H961" s="12"/>
      <c r="I961" s="12"/>
      <c r="J961" s="12"/>
    </row>
    <row r="962" spans="4:10">
      <c r="D962" s="12"/>
      <c r="E962" s="12"/>
      <c r="F962" s="12"/>
      <c r="G962" s="12"/>
      <c r="H962" s="12"/>
      <c r="I962" s="12"/>
      <c r="J962" s="12"/>
    </row>
    <row r="963" spans="4:10">
      <c r="D963" s="12"/>
      <c r="E963" s="12"/>
      <c r="F963" s="12"/>
      <c r="G963" s="12"/>
      <c r="H963" s="12"/>
      <c r="I963" s="12"/>
      <c r="J963" s="12"/>
    </row>
    <row r="964" spans="4:10">
      <c r="D964" s="12"/>
      <c r="E964" s="12"/>
      <c r="F964" s="12"/>
      <c r="G964" s="12"/>
      <c r="H964" s="12"/>
      <c r="I964" s="12"/>
      <c r="J964" s="12"/>
    </row>
    <row r="965" spans="4:10">
      <c r="D965" s="12"/>
      <c r="E965" s="12"/>
      <c r="F965" s="12"/>
      <c r="G965" s="12"/>
      <c r="H965" s="12"/>
      <c r="I965" s="12"/>
      <c r="J965" s="12"/>
    </row>
    <row r="966" spans="4:10">
      <c r="D966" s="12"/>
      <c r="E966" s="12"/>
      <c r="F966" s="12"/>
      <c r="G966" s="12"/>
      <c r="H966" s="12"/>
      <c r="I966" s="12"/>
      <c r="J966" s="12"/>
    </row>
    <row r="967" spans="4:10">
      <c r="D967" s="12"/>
      <c r="E967" s="12"/>
      <c r="F967" s="12"/>
      <c r="G967" s="12"/>
      <c r="H967" s="12"/>
      <c r="I967" s="12"/>
      <c r="J967" s="12"/>
    </row>
    <row r="968" spans="4:10">
      <c r="D968" s="12"/>
      <c r="E968" s="12"/>
      <c r="F968" s="12"/>
      <c r="G968" s="12"/>
      <c r="H968" s="12"/>
      <c r="I968" s="12"/>
      <c r="J968" s="12"/>
    </row>
    <row r="969" spans="4:10">
      <c r="D969" s="12"/>
      <c r="E969" s="12"/>
      <c r="F969" s="12"/>
      <c r="G969" s="12"/>
      <c r="H969" s="12"/>
      <c r="I969" s="12"/>
      <c r="J969" s="12"/>
    </row>
    <row r="970" spans="4:10">
      <c r="D970" s="12"/>
      <c r="E970" s="12"/>
      <c r="F970" s="12"/>
      <c r="G970" s="12"/>
      <c r="H970" s="12"/>
      <c r="I970" s="12"/>
      <c r="J970" s="12"/>
    </row>
    <row r="971" spans="4:10">
      <c r="D971" s="12"/>
      <c r="E971" s="12"/>
      <c r="F971" s="12"/>
      <c r="G971" s="12"/>
      <c r="H971" s="12"/>
      <c r="I971" s="12"/>
      <c r="J971" s="12"/>
    </row>
    <row r="972" spans="4:10">
      <c r="D972" s="12"/>
      <c r="E972" s="12"/>
      <c r="F972" s="12"/>
      <c r="G972" s="12"/>
      <c r="H972" s="12"/>
      <c r="I972" s="12"/>
      <c r="J972" s="12"/>
    </row>
    <row r="973" spans="4:10">
      <c r="D973" s="12"/>
      <c r="E973" s="12"/>
      <c r="F973" s="12"/>
      <c r="G973" s="12"/>
      <c r="H973" s="12"/>
      <c r="I973" s="12"/>
      <c r="J973" s="12"/>
    </row>
    <row r="974" spans="4:10">
      <c r="D974" s="12"/>
      <c r="E974" s="12"/>
      <c r="F974" s="12"/>
      <c r="G974" s="12"/>
      <c r="H974" s="12"/>
      <c r="I974" s="12"/>
      <c r="J974" s="12"/>
    </row>
    <row r="975" spans="4:10">
      <c r="D975" s="12"/>
      <c r="E975" s="12"/>
      <c r="F975" s="12"/>
      <c r="G975" s="12"/>
      <c r="H975" s="12"/>
      <c r="I975" s="12"/>
      <c r="J975" s="12"/>
    </row>
    <row r="976" spans="4:10">
      <c r="D976" s="12"/>
      <c r="E976" s="12"/>
      <c r="F976" s="12"/>
      <c r="G976" s="12"/>
      <c r="H976" s="12"/>
      <c r="I976" s="12"/>
      <c r="J976" s="12"/>
    </row>
    <row r="977" spans="4:10">
      <c r="D977" s="12"/>
      <c r="E977" s="12"/>
      <c r="F977" s="12"/>
      <c r="G977" s="12"/>
      <c r="H977" s="12"/>
      <c r="I977" s="12"/>
      <c r="J977" s="12"/>
    </row>
    <row r="978" spans="4:10">
      <c r="D978" s="12"/>
      <c r="E978" s="12"/>
      <c r="F978" s="12"/>
      <c r="G978" s="12"/>
      <c r="H978" s="12"/>
      <c r="I978" s="12"/>
      <c r="J978" s="12"/>
    </row>
    <row r="979" spans="4:10">
      <c r="D979" s="12"/>
      <c r="E979" s="12"/>
      <c r="F979" s="12"/>
      <c r="G979" s="12"/>
      <c r="H979" s="12"/>
      <c r="I979" s="12"/>
      <c r="J979" s="12"/>
    </row>
    <row r="980" spans="4:10">
      <c r="D980" s="12"/>
      <c r="E980" s="12"/>
      <c r="F980" s="12"/>
      <c r="G980" s="12"/>
      <c r="H980" s="12"/>
      <c r="I980" s="12"/>
      <c r="J980" s="12"/>
    </row>
    <row r="981" spans="4:10">
      <c r="D981" s="12"/>
      <c r="E981" s="12"/>
      <c r="F981" s="12"/>
      <c r="G981" s="12"/>
      <c r="H981" s="12"/>
      <c r="I981" s="12"/>
      <c r="J981" s="12"/>
    </row>
    <row r="982" spans="4:10">
      <c r="D982" s="12"/>
      <c r="E982" s="12"/>
      <c r="F982" s="12"/>
      <c r="G982" s="12"/>
      <c r="H982" s="12"/>
      <c r="I982" s="12"/>
      <c r="J982" s="12"/>
    </row>
    <row r="983" spans="4:10">
      <c r="D983" s="12"/>
      <c r="E983" s="12"/>
      <c r="F983" s="12"/>
      <c r="G983" s="12"/>
      <c r="H983" s="12"/>
      <c r="I983" s="12"/>
      <c r="J983" s="12"/>
    </row>
    <row r="984" spans="4:10">
      <c r="D984" s="12"/>
      <c r="E984" s="12"/>
      <c r="F984" s="12"/>
      <c r="G984" s="12"/>
      <c r="H984" s="12"/>
      <c r="I984" s="12"/>
      <c r="J984" s="12"/>
    </row>
    <row r="985" spans="4:10">
      <c r="D985" s="12"/>
      <c r="E985" s="12"/>
      <c r="F985" s="12"/>
      <c r="G985" s="12"/>
      <c r="H985" s="12"/>
      <c r="I985" s="12"/>
      <c r="J985" s="12"/>
    </row>
    <row r="986" spans="4:10">
      <c r="D986" s="12"/>
      <c r="E986" s="12"/>
      <c r="F986" s="12"/>
      <c r="G986" s="12"/>
      <c r="H986" s="12"/>
      <c r="I986" s="12"/>
      <c r="J986" s="12"/>
    </row>
    <row r="987" spans="4:10">
      <c r="D987" s="12"/>
      <c r="E987" s="12"/>
      <c r="F987" s="12"/>
      <c r="G987" s="12"/>
      <c r="H987" s="12"/>
      <c r="I987" s="12"/>
      <c r="J987" s="12"/>
    </row>
    <row r="988" spans="4:10">
      <c r="D988" s="12"/>
      <c r="E988" s="12"/>
      <c r="F988" s="12"/>
      <c r="G988" s="12"/>
      <c r="H988" s="12"/>
      <c r="I988" s="12"/>
      <c r="J988" s="12"/>
    </row>
    <row r="989" spans="4:10">
      <c r="D989" s="12"/>
      <c r="E989" s="12"/>
      <c r="F989" s="12"/>
      <c r="G989" s="12"/>
      <c r="H989" s="12"/>
      <c r="I989" s="12"/>
      <c r="J989" s="12"/>
    </row>
    <row r="990" spans="4:10">
      <c r="D990" s="12"/>
      <c r="E990" s="12"/>
      <c r="F990" s="12"/>
      <c r="G990" s="12"/>
      <c r="H990" s="12"/>
      <c r="I990" s="12"/>
      <c r="J990" s="12"/>
    </row>
    <row r="991" spans="4:10">
      <c r="D991" s="12"/>
      <c r="E991" s="12"/>
      <c r="F991" s="12"/>
      <c r="G991" s="12"/>
      <c r="H991" s="12"/>
      <c r="I991" s="12"/>
      <c r="J991" s="12"/>
    </row>
    <row r="992" spans="4:10">
      <c r="D992" s="12"/>
      <c r="E992" s="12"/>
      <c r="F992" s="12"/>
      <c r="G992" s="12"/>
      <c r="H992" s="12"/>
      <c r="I992" s="12"/>
      <c r="J992" s="12"/>
    </row>
    <row r="993" spans="4:10">
      <c r="D993" s="12"/>
      <c r="E993" s="12"/>
      <c r="F993" s="12"/>
      <c r="G993" s="12"/>
      <c r="H993" s="12"/>
      <c r="I993" s="12"/>
      <c r="J993" s="12"/>
    </row>
    <row r="994" spans="4:10">
      <c r="D994" s="12"/>
      <c r="E994" s="12"/>
      <c r="F994" s="12"/>
      <c r="G994" s="12"/>
      <c r="H994" s="12"/>
      <c r="I994" s="12"/>
      <c r="J994" s="12"/>
    </row>
  </sheetData>
  <mergeCells count="2">
    <mergeCell ref="B3:B4"/>
    <mergeCell ref="B6:B19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1006"/>
  <sheetViews>
    <sheetView workbookViewId="0"/>
  </sheetViews>
  <sheetFormatPr defaultColWidth="12.625" defaultRowHeight="15" customHeight="1"/>
  <cols>
    <col min="1" max="1" width="1.875" customWidth="1"/>
    <col min="2" max="2" width="16.625" customWidth="1"/>
    <col min="4" max="4" width="19.75" customWidth="1"/>
    <col min="6" max="6" width="9.125" customWidth="1"/>
    <col min="7" max="8" width="4.75" customWidth="1"/>
    <col min="9" max="9" width="15.375" customWidth="1"/>
    <col min="10" max="10" width="21.375" customWidth="1"/>
    <col min="11" max="11" width="17.25" customWidth="1"/>
    <col min="13" max="13" width="13.5" customWidth="1"/>
    <col min="14" max="14" width="8.625" customWidth="1"/>
  </cols>
  <sheetData>
    <row r="1" spans="1:15">
      <c r="A1" s="144" t="s">
        <v>216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1"/>
    </row>
    <row r="2" spans="1:15">
      <c r="A2" s="162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63"/>
    </row>
    <row r="3" spans="1:15">
      <c r="A3" s="162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63"/>
    </row>
    <row r="4" spans="1:15">
      <c r="A4" s="164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6"/>
    </row>
    <row r="5" spans="1:15">
      <c r="A5" s="84"/>
      <c r="B5" s="84"/>
      <c r="C5" s="84"/>
      <c r="I5" s="84"/>
      <c r="J5" s="84"/>
      <c r="K5" s="84"/>
    </row>
    <row r="6" spans="1:15" ht="21.75" customHeight="1">
      <c r="A6" s="85"/>
      <c r="B6" s="145" t="s">
        <v>217</v>
      </c>
      <c r="C6" s="169"/>
      <c r="D6" s="170"/>
      <c r="E6" s="85"/>
      <c r="F6" s="85"/>
      <c r="G6" s="86"/>
      <c r="H6" s="86"/>
      <c r="I6" s="87"/>
      <c r="J6" s="146" t="s">
        <v>218</v>
      </c>
      <c r="K6" s="140"/>
      <c r="L6" s="88"/>
      <c r="M6" s="88"/>
      <c r="N6" s="87"/>
      <c r="O6" s="87"/>
    </row>
    <row r="7" spans="1:15">
      <c r="A7" s="89"/>
      <c r="B7" s="147" t="s">
        <v>219</v>
      </c>
      <c r="C7" s="169"/>
      <c r="D7" s="170"/>
      <c r="E7" s="89"/>
      <c r="F7" s="89"/>
      <c r="G7" s="86"/>
      <c r="H7" s="86"/>
      <c r="I7" s="87"/>
      <c r="J7" s="171"/>
      <c r="K7" s="140"/>
      <c r="L7" s="140"/>
      <c r="M7" s="140"/>
      <c r="N7" s="87"/>
      <c r="O7" s="87"/>
    </row>
    <row r="8" spans="1:15">
      <c r="A8" s="90"/>
      <c r="B8" s="172" t="s">
        <v>220</v>
      </c>
      <c r="C8" s="173" t="s">
        <v>1</v>
      </c>
      <c r="D8" s="173" t="s">
        <v>10</v>
      </c>
      <c r="G8" s="86"/>
      <c r="H8" s="86"/>
      <c r="I8" s="87"/>
      <c r="J8" s="174" t="s">
        <v>221</v>
      </c>
      <c r="K8" s="175" t="s">
        <v>222</v>
      </c>
      <c r="L8" s="123"/>
      <c r="M8" s="123"/>
      <c r="N8" s="87"/>
      <c r="O8" s="87"/>
    </row>
    <row r="9" spans="1:15">
      <c r="A9" s="91"/>
      <c r="B9" s="176">
        <v>44008</v>
      </c>
      <c r="C9" s="177">
        <v>3000</v>
      </c>
      <c r="D9" s="178">
        <f>35458.77+C9</f>
        <v>38458.769999999997</v>
      </c>
      <c r="F9">
        <f>27*120</f>
        <v>3240</v>
      </c>
      <c r="G9" s="86"/>
      <c r="H9" s="86"/>
      <c r="I9" s="87"/>
      <c r="J9" s="174" t="s">
        <v>223</v>
      </c>
      <c r="K9" s="92"/>
      <c r="L9" s="93"/>
      <c r="N9" s="87"/>
      <c r="O9" s="87"/>
    </row>
    <row r="10" spans="1:15">
      <c r="A10" s="91"/>
      <c r="B10" s="176">
        <v>44022</v>
      </c>
      <c r="C10" s="177">
        <v>3000</v>
      </c>
      <c r="D10" s="178">
        <f t="shared" ref="D10:D22" si="0">D9+C10</f>
        <v>41458.769999999997</v>
      </c>
      <c r="G10" s="86"/>
      <c r="H10" s="86"/>
      <c r="I10" s="87"/>
      <c r="J10" s="174" t="s">
        <v>224</v>
      </c>
      <c r="K10" s="118"/>
      <c r="L10" s="118"/>
      <c r="M10" s="94"/>
      <c r="N10" s="87"/>
      <c r="O10" s="87"/>
    </row>
    <row r="11" spans="1:15">
      <c r="A11" s="91"/>
      <c r="B11" s="176">
        <v>44036</v>
      </c>
      <c r="C11" s="177">
        <v>5000</v>
      </c>
      <c r="D11" s="178">
        <f t="shared" si="0"/>
        <v>46458.77</v>
      </c>
      <c r="G11" s="86"/>
      <c r="H11" s="86"/>
      <c r="I11" s="87"/>
      <c r="J11" s="174" t="s">
        <v>225</v>
      </c>
      <c r="K11" s="118"/>
      <c r="L11" s="118"/>
      <c r="M11" s="94"/>
      <c r="N11" s="87"/>
      <c r="O11" s="87"/>
    </row>
    <row r="12" spans="1:15">
      <c r="A12" s="91"/>
      <c r="B12" s="176">
        <v>44050</v>
      </c>
      <c r="C12" s="116">
        <v>3000</v>
      </c>
      <c r="D12" s="178">
        <f t="shared" si="0"/>
        <v>49458.77</v>
      </c>
      <c r="G12" s="86"/>
      <c r="H12" s="86"/>
      <c r="I12" s="87"/>
      <c r="J12" s="174" t="s">
        <v>226</v>
      </c>
      <c r="K12" s="118"/>
      <c r="L12" s="118"/>
      <c r="M12" s="179"/>
      <c r="N12" s="87"/>
      <c r="O12" s="87"/>
    </row>
    <row r="13" spans="1:15">
      <c r="A13" s="91"/>
      <c r="B13" s="176">
        <v>44064</v>
      </c>
      <c r="C13" s="116">
        <v>3000</v>
      </c>
      <c r="D13" s="178">
        <f t="shared" si="0"/>
        <v>52458.77</v>
      </c>
      <c r="G13" s="86"/>
      <c r="H13" s="86"/>
      <c r="I13" s="109"/>
      <c r="J13" s="174" t="s">
        <v>227</v>
      </c>
      <c r="K13" s="180" t="s">
        <v>222</v>
      </c>
      <c r="L13" s="118"/>
      <c r="M13" s="94"/>
      <c r="N13" s="94"/>
    </row>
    <row r="14" spans="1:15">
      <c r="A14" s="91"/>
      <c r="B14" s="176">
        <v>44078</v>
      </c>
      <c r="C14" s="116">
        <v>4000</v>
      </c>
      <c r="D14" s="178">
        <f t="shared" si="0"/>
        <v>56458.77</v>
      </c>
      <c r="G14" s="86"/>
      <c r="H14" s="86"/>
      <c r="I14" s="109"/>
      <c r="J14" s="174" t="s">
        <v>228</v>
      </c>
      <c r="K14" s="118"/>
      <c r="L14" s="118"/>
      <c r="M14" s="94"/>
      <c r="N14" s="94"/>
    </row>
    <row r="15" spans="1:15">
      <c r="A15" s="91"/>
      <c r="B15" s="176">
        <v>44092</v>
      </c>
      <c r="C15" s="116">
        <v>6000</v>
      </c>
      <c r="D15" s="178">
        <f t="shared" si="0"/>
        <v>62458.77</v>
      </c>
      <c r="G15" s="86"/>
      <c r="H15" s="86"/>
      <c r="I15" s="109"/>
      <c r="J15" s="118"/>
      <c r="K15" s="94"/>
      <c r="L15" s="94"/>
      <c r="M15" s="94"/>
      <c r="N15" s="94"/>
    </row>
    <row r="16" spans="1:15">
      <c r="A16" s="91"/>
      <c r="B16" s="176">
        <v>44106</v>
      </c>
      <c r="C16" s="116">
        <v>3000</v>
      </c>
      <c r="D16" s="178">
        <f t="shared" si="0"/>
        <v>65458.77</v>
      </c>
      <c r="G16" s="86"/>
      <c r="H16" s="94"/>
      <c r="M16" s="86"/>
    </row>
    <row r="17" spans="1:14">
      <c r="A17" s="91"/>
      <c r="B17" s="176">
        <v>44120</v>
      </c>
      <c r="C17" s="116">
        <v>6000</v>
      </c>
      <c r="D17" s="178">
        <f t="shared" si="0"/>
        <v>71458.76999999999</v>
      </c>
      <c r="G17" s="86"/>
      <c r="H17" s="86"/>
      <c r="M17" s="86"/>
    </row>
    <row r="18" spans="1:14">
      <c r="A18" s="91"/>
      <c r="B18" s="176">
        <v>44134</v>
      </c>
      <c r="C18" s="116">
        <v>6000</v>
      </c>
      <c r="D18" s="178">
        <f t="shared" si="0"/>
        <v>77458.76999999999</v>
      </c>
      <c r="G18" s="86"/>
      <c r="H18" s="86"/>
      <c r="M18" s="86"/>
    </row>
    <row r="19" spans="1:14">
      <c r="A19" s="91"/>
      <c r="B19" s="176">
        <v>44148</v>
      </c>
      <c r="C19" s="116">
        <v>3000</v>
      </c>
      <c r="D19" s="178">
        <f t="shared" si="0"/>
        <v>80458.76999999999</v>
      </c>
      <c r="G19" s="86"/>
      <c r="H19" s="86"/>
      <c r="M19" s="86"/>
    </row>
    <row r="20" spans="1:14">
      <c r="A20" s="91"/>
      <c r="B20" s="176">
        <v>44162</v>
      </c>
      <c r="C20" s="116">
        <v>6000</v>
      </c>
      <c r="D20" s="178">
        <f t="shared" si="0"/>
        <v>86458.76999999999</v>
      </c>
      <c r="G20" s="86"/>
      <c r="H20" s="86"/>
      <c r="M20" s="86"/>
    </row>
    <row r="21" spans="1:14">
      <c r="A21" s="91"/>
      <c r="B21" s="176">
        <v>44176</v>
      </c>
      <c r="C21" s="116">
        <v>3000</v>
      </c>
      <c r="D21" s="178">
        <f t="shared" si="0"/>
        <v>89458.76999999999</v>
      </c>
      <c r="G21" s="86"/>
      <c r="H21" s="86"/>
      <c r="M21" s="86"/>
    </row>
    <row r="22" spans="1:14">
      <c r="A22" s="91"/>
      <c r="B22" s="176">
        <v>44190</v>
      </c>
      <c r="C22" s="116">
        <v>6000</v>
      </c>
      <c r="D22" s="178">
        <f t="shared" si="0"/>
        <v>95458.76999999999</v>
      </c>
      <c r="G22" s="86"/>
      <c r="H22" s="86"/>
      <c r="M22" s="86"/>
    </row>
    <row r="23" spans="1:14">
      <c r="A23" s="101"/>
      <c r="B23" s="148"/>
      <c r="C23" s="169"/>
      <c r="D23" s="170"/>
      <c r="G23" s="86"/>
      <c r="H23" s="86"/>
      <c r="M23" s="86"/>
    </row>
    <row r="24" spans="1:14">
      <c r="A24" s="101"/>
      <c r="B24" s="101"/>
      <c r="C24" s="95"/>
      <c r="D24" s="86"/>
      <c r="E24" s="86"/>
      <c r="F24" s="86"/>
      <c r="G24" s="86"/>
      <c r="H24" s="86"/>
      <c r="M24" s="86"/>
      <c r="N24" s="37"/>
    </row>
    <row r="25" spans="1:14">
      <c r="A25" s="101"/>
      <c r="B25" s="101"/>
      <c r="C25" s="95"/>
      <c r="D25" s="86"/>
      <c r="E25" s="86"/>
      <c r="F25" s="86"/>
      <c r="G25" s="86"/>
      <c r="H25" s="86"/>
      <c r="I25" s="96"/>
      <c r="J25" s="86"/>
      <c r="K25" s="86"/>
      <c r="L25" s="86"/>
      <c r="M25" s="86"/>
      <c r="N25" s="37"/>
    </row>
    <row r="26" spans="1:14">
      <c r="A26" s="101"/>
      <c r="B26" s="145" t="s">
        <v>229</v>
      </c>
      <c r="C26" s="169"/>
      <c r="D26" s="169"/>
      <c r="E26" s="169"/>
      <c r="F26" s="170"/>
      <c r="G26" s="86"/>
      <c r="H26" s="86"/>
      <c r="I26" s="96"/>
      <c r="J26" s="86"/>
      <c r="K26" s="86"/>
      <c r="L26" s="86"/>
      <c r="M26" s="86"/>
      <c r="N26" s="37"/>
    </row>
    <row r="27" spans="1:14">
      <c r="A27" s="101"/>
      <c r="B27" s="97" t="s">
        <v>220</v>
      </c>
      <c r="C27" s="97" t="s">
        <v>230</v>
      </c>
      <c r="D27" s="97" t="s">
        <v>231</v>
      </c>
      <c r="E27" s="97" t="s">
        <v>2</v>
      </c>
      <c r="F27" s="97" t="s">
        <v>232</v>
      </c>
      <c r="G27" s="86"/>
      <c r="H27" s="86"/>
      <c r="I27" s="96"/>
      <c r="J27" s="86"/>
      <c r="K27" s="86"/>
      <c r="L27" s="86"/>
      <c r="M27" s="86"/>
      <c r="N27" s="37"/>
    </row>
    <row r="28" spans="1:14">
      <c r="A28" s="91"/>
      <c r="B28" s="98">
        <v>43840</v>
      </c>
      <c r="C28" s="99">
        <v>5000</v>
      </c>
      <c r="D28" s="100" t="s">
        <v>233</v>
      </c>
      <c r="E28" s="100"/>
      <c r="F28" s="100"/>
      <c r="G28" s="86"/>
      <c r="H28" s="86"/>
      <c r="I28" s="96"/>
      <c r="J28" s="86"/>
      <c r="K28" s="86"/>
      <c r="L28" s="86"/>
      <c r="M28" s="86"/>
      <c r="N28" s="37"/>
    </row>
    <row r="29" spans="1:14">
      <c r="A29" s="91"/>
      <c r="B29" s="98">
        <v>43854</v>
      </c>
      <c r="C29" s="99">
        <v>1000</v>
      </c>
      <c r="D29" s="100" t="s">
        <v>234</v>
      </c>
      <c r="E29" s="100"/>
      <c r="F29" s="100"/>
      <c r="G29" s="86"/>
      <c r="H29" s="86"/>
      <c r="I29" s="90"/>
      <c r="J29" s="101"/>
      <c r="K29" s="86"/>
      <c r="L29" s="86"/>
      <c r="M29" s="86"/>
      <c r="N29" s="37"/>
    </row>
    <row r="30" spans="1:14">
      <c r="A30" s="91"/>
      <c r="B30" s="98">
        <v>43854</v>
      </c>
      <c r="C30" s="99">
        <v>4000</v>
      </c>
      <c r="D30" s="100" t="s">
        <v>235</v>
      </c>
      <c r="E30" s="100"/>
      <c r="F30" s="100"/>
      <c r="G30" s="86"/>
      <c r="H30" s="86"/>
      <c r="I30" s="90"/>
      <c r="J30" s="101"/>
      <c r="K30" s="86"/>
      <c r="L30" s="86"/>
      <c r="M30" s="86"/>
      <c r="N30" s="37"/>
    </row>
    <row r="31" spans="1:14">
      <c r="A31" s="86"/>
      <c r="B31" s="98">
        <v>43868</v>
      </c>
      <c r="C31" s="99">
        <v>2000</v>
      </c>
      <c r="D31" s="100" t="s">
        <v>235</v>
      </c>
      <c r="E31" s="100"/>
      <c r="F31" s="100"/>
      <c r="G31" s="86"/>
      <c r="H31" s="86"/>
      <c r="I31" s="96"/>
      <c r="J31" s="101"/>
      <c r="K31" s="86"/>
      <c r="L31" s="86"/>
      <c r="M31" s="86"/>
      <c r="N31" s="37"/>
    </row>
    <row r="32" spans="1:14">
      <c r="A32" s="86"/>
      <c r="B32" s="98">
        <v>43868</v>
      </c>
      <c r="C32" s="99">
        <v>3000</v>
      </c>
      <c r="D32" s="100" t="s">
        <v>236</v>
      </c>
      <c r="E32" s="100"/>
      <c r="F32" s="100"/>
      <c r="G32" s="86"/>
      <c r="H32" s="86"/>
      <c r="I32" s="96"/>
      <c r="J32" s="101"/>
      <c r="K32" s="86"/>
      <c r="L32" s="86"/>
      <c r="M32" s="86"/>
      <c r="N32" s="37"/>
    </row>
    <row r="33" spans="1:14">
      <c r="B33" s="98">
        <v>43882</v>
      </c>
      <c r="C33" s="99">
        <v>2000</v>
      </c>
      <c r="D33" s="100" t="s">
        <v>237</v>
      </c>
      <c r="E33" s="100"/>
      <c r="F33" s="100"/>
      <c r="G33" s="86"/>
      <c r="H33" s="86"/>
      <c r="I33" s="96"/>
      <c r="J33" s="101"/>
      <c r="K33" s="86"/>
      <c r="L33" s="86"/>
      <c r="M33" s="86"/>
      <c r="N33" s="92" t="s">
        <v>238</v>
      </c>
    </row>
    <row r="34" spans="1:14">
      <c r="B34" s="98">
        <v>43882</v>
      </c>
      <c r="C34" s="99"/>
      <c r="D34" s="100"/>
      <c r="E34" s="100"/>
      <c r="F34" s="100"/>
      <c r="G34" s="86"/>
      <c r="H34" s="86"/>
      <c r="I34" s="86"/>
      <c r="J34" s="86"/>
      <c r="K34" s="86"/>
      <c r="L34" s="86"/>
      <c r="M34" s="86"/>
      <c r="N34" s="92"/>
    </row>
    <row r="35" spans="1:14">
      <c r="B35" s="98">
        <v>43896</v>
      </c>
      <c r="C35" s="99">
        <v>3000</v>
      </c>
      <c r="D35" s="100"/>
      <c r="E35" s="100"/>
      <c r="F35" s="100"/>
      <c r="G35" s="86"/>
      <c r="H35" s="86"/>
      <c r="I35" s="86"/>
      <c r="J35" s="86"/>
      <c r="K35" s="86"/>
      <c r="L35" s="86"/>
      <c r="M35" s="86"/>
      <c r="N35" s="92"/>
    </row>
    <row r="36" spans="1:14">
      <c r="B36" s="98">
        <v>43910</v>
      </c>
      <c r="C36" s="99">
        <v>3000</v>
      </c>
      <c r="D36" s="100"/>
      <c r="E36" s="100"/>
      <c r="F36" s="102"/>
      <c r="G36" s="86"/>
      <c r="H36" s="86"/>
      <c r="I36" s="97" t="s">
        <v>239</v>
      </c>
      <c r="J36" s="103" t="s">
        <v>240</v>
      </c>
      <c r="K36" s="86"/>
      <c r="L36" s="86"/>
      <c r="M36" s="86"/>
      <c r="N36" s="37"/>
    </row>
    <row r="37" spans="1:14">
      <c r="B37" s="98">
        <v>43924</v>
      </c>
      <c r="C37" s="99">
        <v>4000</v>
      </c>
      <c r="D37" s="100"/>
      <c r="E37" s="100"/>
      <c r="F37" s="102"/>
      <c r="G37" s="86"/>
      <c r="H37" s="86"/>
      <c r="I37" s="100" t="s">
        <v>241</v>
      </c>
      <c r="J37" s="104">
        <v>0.13</v>
      </c>
      <c r="K37" s="86"/>
      <c r="L37" s="86"/>
      <c r="M37" s="86"/>
      <c r="N37" s="37"/>
    </row>
    <row r="38" spans="1:14">
      <c r="B38" s="98">
        <v>43938</v>
      </c>
      <c r="C38" s="99">
        <v>3000</v>
      </c>
      <c r="D38" s="100"/>
      <c r="E38" s="100"/>
      <c r="F38" s="102"/>
      <c r="G38" s="86"/>
      <c r="H38" s="86"/>
      <c r="I38" s="100" t="s">
        <v>242</v>
      </c>
      <c r="J38" s="105">
        <v>6.0999999999999999E-2</v>
      </c>
      <c r="K38" s="86"/>
      <c r="L38" s="86"/>
      <c r="M38" s="86"/>
      <c r="N38" s="37"/>
    </row>
    <row r="39" spans="1:14">
      <c r="B39" s="98">
        <v>43952</v>
      </c>
      <c r="C39" s="99">
        <v>3000</v>
      </c>
      <c r="D39" s="100"/>
      <c r="E39" s="100"/>
      <c r="F39" s="102"/>
      <c r="G39" s="86"/>
      <c r="H39" s="86"/>
      <c r="I39" s="100" t="s">
        <v>243</v>
      </c>
      <c r="J39" s="105">
        <v>4.5999999999999999E-2</v>
      </c>
      <c r="K39" s="86"/>
      <c r="L39" s="86"/>
      <c r="M39" s="86"/>
      <c r="N39" s="37"/>
    </row>
    <row r="40" spans="1:14">
      <c r="B40" s="98">
        <v>43966</v>
      </c>
      <c r="C40" s="99">
        <v>4000</v>
      </c>
      <c r="D40" s="100"/>
      <c r="E40" s="100"/>
      <c r="F40" s="102"/>
      <c r="G40" s="86"/>
      <c r="H40" s="86"/>
      <c r="I40" s="100" t="s">
        <v>244</v>
      </c>
      <c r="J40" s="105">
        <v>4.2999999999999997E-2</v>
      </c>
      <c r="K40" s="86"/>
      <c r="L40" s="86"/>
      <c r="M40" s="86"/>
    </row>
    <row r="41" spans="1:14">
      <c r="B41" s="98">
        <v>43980</v>
      </c>
      <c r="C41" s="99">
        <v>3000</v>
      </c>
      <c r="D41" s="100"/>
      <c r="E41" s="100"/>
      <c r="F41" s="102"/>
      <c r="G41" s="86"/>
      <c r="H41" s="86"/>
      <c r="I41" s="100" t="s">
        <v>245</v>
      </c>
      <c r="J41" s="105">
        <v>5.6000000000000001E-2</v>
      </c>
      <c r="K41" s="86"/>
      <c r="L41" s="86"/>
      <c r="M41" s="86"/>
    </row>
    <row r="42" spans="1:14">
      <c r="B42" s="98">
        <v>43994</v>
      </c>
      <c r="C42" s="99">
        <v>4000</v>
      </c>
      <c r="D42" s="100"/>
      <c r="E42" s="100"/>
      <c r="F42" s="102"/>
      <c r="G42" s="86"/>
      <c r="H42" s="86"/>
      <c r="I42" s="100" t="s">
        <v>246</v>
      </c>
      <c r="J42" s="105">
        <v>5.8999999999999997E-2</v>
      </c>
      <c r="K42" s="86"/>
      <c r="L42" s="86"/>
      <c r="M42" s="86"/>
    </row>
    <row r="43" spans="1:14">
      <c r="A43" s="86"/>
      <c r="B43" s="98">
        <v>44008</v>
      </c>
      <c r="C43" s="99">
        <v>3000</v>
      </c>
      <c r="D43" s="100"/>
      <c r="E43" s="100"/>
      <c r="F43" s="102"/>
      <c r="G43" s="86"/>
      <c r="H43" s="86"/>
      <c r="I43" s="100" t="s">
        <v>247</v>
      </c>
      <c r="J43" s="105">
        <v>7.8E-2</v>
      </c>
      <c r="K43" s="86"/>
      <c r="L43" s="86"/>
      <c r="M43" s="86"/>
    </row>
    <row r="44" spans="1:14">
      <c r="A44" s="86"/>
      <c r="B44" s="106" t="s">
        <v>248</v>
      </c>
      <c r="C44" s="107"/>
      <c r="D44" s="86"/>
      <c r="E44" s="86"/>
      <c r="F44" s="86"/>
      <c r="G44" s="86"/>
      <c r="H44" s="86"/>
      <c r="I44" s="100" t="s">
        <v>249</v>
      </c>
      <c r="J44" s="105">
        <v>5.4199999999999998E-2</v>
      </c>
      <c r="K44" s="86"/>
      <c r="L44" s="86"/>
      <c r="M44" s="86"/>
    </row>
    <row r="45" spans="1:14">
      <c r="A45" s="86"/>
      <c r="G45" s="86"/>
      <c r="H45" s="86"/>
      <c r="I45" s="100" t="s">
        <v>250</v>
      </c>
      <c r="J45" s="105">
        <v>0.11210000000000001</v>
      </c>
      <c r="K45" s="86"/>
      <c r="L45" s="86"/>
      <c r="M45" s="86"/>
    </row>
    <row r="46" spans="1:14">
      <c r="A46" s="87"/>
      <c r="G46" s="86"/>
      <c r="H46" s="86"/>
      <c r="I46" s="100" t="s">
        <v>251</v>
      </c>
      <c r="J46" s="108">
        <v>10.76</v>
      </c>
      <c r="K46" s="86"/>
      <c r="L46" s="86"/>
      <c r="M46" s="86"/>
    </row>
    <row r="47" spans="1:14">
      <c r="A47" s="89"/>
      <c r="G47" s="86"/>
      <c r="H47" s="86"/>
      <c r="I47" s="100" t="s">
        <v>252</v>
      </c>
      <c r="J47" s="105">
        <v>5.8799999999999998E-2</v>
      </c>
      <c r="K47" s="86"/>
      <c r="L47" s="86"/>
      <c r="M47" s="86"/>
    </row>
    <row r="48" spans="1:14">
      <c r="A48" s="174"/>
      <c r="G48" s="86"/>
      <c r="H48" s="86"/>
      <c r="I48" s="86"/>
      <c r="J48" s="101"/>
      <c r="K48" s="86"/>
      <c r="L48" s="86"/>
      <c r="M48" s="86"/>
    </row>
    <row r="49" spans="1:13">
      <c r="A49" s="181"/>
      <c r="G49" s="86"/>
      <c r="H49" s="86"/>
      <c r="I49" s="96"/>
      <c r="J49" s="101"/>
      <c r="K49" s="86"/>
      <c r="L49" s="86"/>
      <c r="M49" s="86"/>
    </row>
    <row r="50" spans="1:13">
      <c r="A50" s="181"/>
      <c r="G50" s="86"/>
      <c r="H50" s="86"/>
      <c r="I50" s="86"/>
      <c r="J50" s="101"/>
      <c r="K50" s="86"/>
      <c r="L50" s="86"/>
      <c r="M50" s="86"/>
    </row>
    <row r="51" spans="1:13">
      <c r="A51" s="181"/>
      <c r="G51" s="86"/>
      <c r="H51" s="86"/>
      <c r="I51" s="90"/>
      <c r="J51" s="90"/>
      <c r="K51" s="90"/>
      <c r="L51" s="86"/>
      <c r="M51" s="86"/>
    </row>
    <row r="52" spans="1:13">
      <c r="A52" s="109"/>
      <c r="G52" s="86"/>
      <c r="H52" s="86"/>
      <c r="I52" s="90"/>
      <c r="J52" s="90"/>
      <c r="K52" s="90"/>
      <c r="L52" s="86"/>
      <c r="M52" s="86"/>
    </row>
    <row r="53" spans="1:13">
      <c r="A53" s="109"/>
      <c r="B53" s="109"/>
      <c r="C53" s="118"/>
      <c r="D53" s="94"/>
      <c r="E53" s="86"/>
      <c r="F53" s="86"/>
      <c r="G53" s="86"/>
      <c r="H53" s="86"/>
      <c r="I53" s="90"/>
      <c r="J53" s="90"/>
      <c r="K53" s="90"/>
      <c r="L53" s="86"/>
      <c r="M53" s="86"/>
    </row>
    <row r="54" spans="1:13">
      <c r="A54" s="109"/>
      <c r="B54" s="109"/>
      <c r="C54" s="118"/>
      <c r="D54" s="94"/>
      <c r="E54" s="86"/>
      <c r="F54" s="86"/>
      <c r="G54" s="86"/>
      <c r="H54" s="86"/>
      <c r="I54" s="96"/>
      <c r="J54" s="95"/>
      <c r="K54" s="96"/>
      <c r="L54" s="86"/>
      <c r="M54" s="86"/>
    </row>
    <row r="55" spans="1:13">
      <c r="A55" s="109"/>
      <c r="B55" s="109"/>
      <c r="C55" s="118"/>
      <c r="D55" s="94"/>
      <c r="E55" s="86"/>
      <c r="F55" s="86"/>
      <c r="G55" s="86"/>
      <c r="H55" s="86"/>
      <c r="I55" s="96"/>
      <c r="J55" s="95"/>
      <c r="K55" s="96"/>
      <c r="L55" s="86"/>
      <c r="M55" s="86"/>
    </row>
    <row r="56" spans="1:13">
      <c r="A56" s="109"/>
      <c r="B56" s="109"/>
      <c r="C56" s="118"/>
      <c r="D56" s="94"/>
      <c r="E56" s="86"/>
      <c r="F56" s="86"/>
      <c r="G56" s="86"/>
      <c r="H56" s="86"/>
      <c r="I56" s="96"/>
      <c r="J56" s="95"/>
      <c r="K56" s="96"/>
      <c r="L56" s="86"/>
      <c r="M56" s="86"/>
    </row>
    <row r="57" spans="1:13">
      <c r="A57" s="109"/>
      <c r="B57" s="109"/>
      <c r="C57" s="118"/>
      <c r="D57" s="94"/>
      <c r="E57" s="86"/>
      <c r="F57" s="86"/>
      <c r="G57" s="86"/>
      <c r="H57" s="86"/>
      <c r="I57" s="101"/>
      <c r="J57" s="95"/>
      <c r="K57" s="96"/>
      <c r="L57" s="86"/>
      <c r="M57" s="86"/>
    </row>
    <row r="58" spans="1:13">
      <c r="A58" s="109"/>
      <c r="B58" s="109"/>
      <c r="C58" s="118"/>
      <c r="D58" s="94"/>
      <c r="E58" s="86"/>
      <c r="F58" s="86"/>
      <c r="G58" s="86"/>
      <c r="H58" s="86"/>
      <c r="I58" s="101"/>
      <c r="J58" s="95"/>
      <c r="K58" s="86"/>
      <c r="L58" s="86"/>
      <c r="M58" s="86"/>
    </row>
    <row r="59" spans="1:13">
      <c r="A59" s="86"/>
      <c r="B59" s="86"/>
      <c r="C59" s="86"/>
      <c r="D59" s="86"/>
      <c r="E59" s="86"/>
      <c r="F59" s="86"/>
      <c r="G59" s="86"/>
      <c r="H59" s="86"/>
      <c r="I59" s="101"/>
      <c r="J59" s="95"/>
      <c r="K59" s="86"/>
      <c r="L59" s="86"/>
      <c r="M59" s="86"/>
    </row>
    <row r="60" spans="1:13">
      <c r="A60" s="86"/>
      <c r="B60" s="86"/>
      <c r="C60" s="86"/>
      <c r="D60" s="86"/>
      <c r="E60" s="86"/>
      <c r="F60" s="86"/>
      <c r="G60" s="86"/>
      <c r="H60" s="86"/>
      <c r="I60" s="101"/>
      <c r="J60" s="95"/>
      <c r="K60" s="96"/>
      <c r="L60" s="86"/>
      <c r="M60" s="86"/>
    </row>
    <row r="61" spans="1:13">
      <c r="A61" s="86"/>
      <c r="B61" s="86"/>
      <c r="C61" s="86"/>
      <c r="D61" s="86"/>
      <c r="E61" s="86"/>
      <c r="F61" s="86"/>
      <c r="G61" s="86"/>
      <c r="H61" s="86"/>
      <c r="I61" s="101"/>
      <c r="J61" s="95"/>
      <c r="K61" s="86"/>
      <c r="L61" s="86"/>
      <c r="M61" s="86"/>
    </row>
    <row r="62" spans="1:13">
      <c r="A62" s="86"/>
      <c r="B62" s="86"/>
      <c r="C62" s="86"/>
      <c r="D62" s="86"/>
      <c r="E62" s="86"/>
      <c r="F62" s="86"/>
      <c r="G62" s="86"/>
      <c r="H62" s="86"/>
      <c r="I62" s="101"/>
      <c r="J62" s="95"/>
      <c r="K62" s="86"/>
      <c r="L62" s="86"/>
      <c r="M62" s="86"/>
    </row>
    <row r="63" spans="1:13">
      <c r="A63" s="86"/>
      <c r="B63" s="86"/>
      <c r="C63" s="86"/>
      <c r="D63" s="86"/>
      <c r="E63" s="86"/>
      <c r="F63" s="86"/>
      <c r="G63" s="86"/>
      <c r="H63" s="86"/>
      <c r="I63" s="86"/>
      <c r="J63" s="101"/>
      <c r="K63" s="86"/>
      <c r="L63" s="86"/>
      <c r="M63" s="86"/>
    </row>
    <row r="64" spans="1:13">
      <c r="A64" s="86"/>
      <c r="B64" s="86"/>
      <c r="C64" s="86"/>
      <c r="D64" s="86"/>
      <c r="E64" s="86"/>
      <c r="F64" s="86"/>
      <c r="G64" s="86"/>
      <c r="H64" s="86"/>
      <c r="I64" s="86"/>
      <c r="J64" s="101"/>
      <c r="K64" s="86"/>
      <c r="L64" s="86"/>
      <c r="M64" s="86"/>
    </row>
    <row r="65" spans="1:13">
      <c r="A65" s="86"/>
      <c r="B65" s="86"/>
      <c r="C65" s="86"/>
      <c r="D65" s="86"/>
      <c r="E65" s="86"/>
      <c r="F65" s="86"/>
      <c r="G65" s="86"/>
      <c r="H65" s="86"/>
      <c r="I65" s="86"/>
      <c r="J65" s="101"/>
      <c r="K65" s="86"/>
      <c r="L65" s="86"/>
      <c r="M65" s="86"/>
    </row>
    <row r="66" spans="1:13">
      <c r="A66" s="86"/>
      <c r="B66" s="86"/>
      <c r="C66" s="86"/>
      <c r="D66" s="86"/>
      <c r="E66" s="86"/>
      <c r="F66" s="86"/>
      <c r="G66" s="86"/>
      <c r="H66" s="86"/>
      <c r="I66" s="86"/>
      <c r="J66" s="101"/>
      <c r="K66" s="86"/>
      <c r="L66" s="86"/>
      <c r="M66" s="86"/>
    </row>
    <row r="67" spans="1:13">
      <c r="A67" s="86"/>
      <c r="B67" s="86"/>
      <c r="C67" s="86"/>
      <c r="D67" s="86"/>
      <c r="E67" s="86"/>
      <c r="F67" s="86"/>
      <c r="G67" s="86"/>
      <c r="H67" s="86"/>
      <c r="I67" s="86"/>
      <c r="J67" s="101"/>
      <c r="K67" s="86"/>
      <c r="L67" s="86"/>
      <c r="M67" s="86"/>
    </row>
    <row r="68" spans="1:13">
      <c r="A68" s="86"/>
      <c r="B68" s="86"/>
      <c r="C68" s="86"/>
      <c r="D68" s="86"/>
      <c r="E68" s="86"/>
      <c r="F68" s="86"/>
      <c r="G68" s="86"/>
      <c r="H68" s="86"/>
      <c r="I68" s="86"/>
      <c r="J68" s="101"/>
      <c r="K68" s="86"/>
      <c r="L68" s="86"/>
      <c r="M68" s="86"/>
    </row>
    <row r="69" spans="1:13">
      <c r="A69" s="86"/>
      <c r="B69" s="86"/>
      <c r="C69" s="86"/>
      <c r="D69" s="86"/>
      <c r="E69" s="86"/>
      <c r="F69" s="86"/>
      <c r="G69" s="86"/>
      <c r="H69" s="86"/>
      <c r="I69" s="86"/>
      <c r="J69" s="101"/>
      <c r="K69" s="86"/>
      <c r="L69" s="86"/>
      <c r="M69" s="86"/>
    </row>
    <row r="70" spans="1:13">
      <c r="A70" s="86"/>
      <c r="B70" s="86"/>
      <c r="C70" s="86"/>
      <c r="D70" s="86"/>
      <c r="E70" s="86"/>
      <c r="F70" s="86"/>
      <c r="G70" s="86"/>
      <c r="H70" s="86"/>
      <c r="I70" s="86"/>
      <c r="J70" s="101"/>
      <c r="K70" s="86"/>
      <c r="L70" s="86"/>
      <c r="M70" s="86"/>
    </row>
    <row r="71" spans="1:13">
      <c r="A71" s="86"/>
      <c r="B71" s="86"/>
      <c r="C71" s="86"/>
      <c r="D71" s="86"/>
      <c r="E71" s="86"/>
      <c r="F71" s="86"/>
      <c r="G71" s="86"/>
      <c r="H71" s="86"/>
      <c r="I71" s="86"/>
      <c r="J71" s="101"/>
      <c r="K71" s="86"/>
      <c r="L71" s="86"/>
      <c r="M71" s="86"/>
    </row>
    <row r="72" spans="1:13">
      <c r="A72" s="86"/>
      <c r="B72" s="86"/>
      <c r="C72" s="86"/>
      <c r="D72" s="86"/>
      <c r="E72" s="86"/>
      <c r="F72" s="86"/>
      <c r="G72" s="86"/>
      <c r="H72" s="86"/>
      <c r="I72" s="86"/>
      <c r="J72" s="101"/>
      <c r="K72" s="86"/>
      <c r="L72" s="86"/>
      <c r="M72" s="86"/>
    </row>
    <row r="73" spans="1:13">
      <c r="A73" s="86"/>
      <c r="B73" s="86"/>
      <c r="C73" s="86"/>
      <c r="D73" s="86"/>
      <c r="E73" s="86"/>
      <c r="F73" s="86"/>
      <c r="G73" s="86"/>
      <c r="H73" s="86"/>
      <c r="I73" s="86"/>
      <c r="J73" s="101"/>
      <c r="K73" s="86"/>
      <c r="L73" s="86"/>
      <c r="M73" s="86"/>
    </row>
    <row r="74" spans="1:13">
      <c r="A74" s="86"/>
      <c r="B74" s="86"/>
      <c r="C74" s="86"/>
      <c r="D74" s="86"/>
      <c r="E74" s="86"/>
      <c r="F74" s="86"/>
      <c r="G74" s="86"/>
      <c r="H74" s="86"/>
      <c r="I74" s="86"/>
      <c r="J74" s="101"/>
      <c r="K74" s="86"/>
      <c r="L74" s="86"/>
      <c r="M74" s="86"/>
    </row>
    <row r="75" spans="1:13">
      <c r="A75" s="86"/>
      <c r="B75" s="86"/>
      <c r="C75" s="86"/>
      <c r="D75" s="86"/>
      <c r="E75" s="86"/>
      <c r="F75" s="86"/>
      <c r="G75" s="86"/>
      <c r="H75" s="86"/>
      <c r="I75" s="86"/>
      <c r="J75" s="101"/>
      <c r="K75" s="86"/>
      <c r="L75" s="86"/>
      <c r="M75" s="86"/>
    </row>
    <row r="76" spans="1:13">
      <c r="A76" s="86"/>
      <c r="B76" s="86"/>
      <c r="C76" s="86"/>
      <c r="D76" s="86"/>
      <c r="E76" s="86"/>
      <c r="F76" s="86"/>
      <c r="G76" s="86"/>
      <c r="H76" s="86"/>
      <c r="I76" s="86"/>
      <c r="J76" s="101"/>
      <c r="K76" s="86"/>
      <c r="L76" s="86"/>
      <c r="M76" s="86"/>
    </row>
    <row r="77" spans="1:13">
      <c r="A77" s="86"/>
      <c r="B77" s="86"/>
      <c r="C77" s="86"/>
      <c r="D77" s="86"/>
      <c r="E77" s="86"/>
      <c r="F77" s="86"/>
      <c r="G77" s="86"/>
      <c r="H77" s="86"/>
      <c r="I77" s="86"/>
      <c r="J77" s="101"/>
      <c r="K77" s="86"/>
      <c r="L77" s="86"/>
      <c r="M77" s="86"/>
    </row>
    <row r="78" spans="1:13">
      <c r="A78" s="86"/>
      <c r="B78" s="86"/>
      <c r="C78" s="86"/>
      <c r="D78" s="86"/>
      <c r="E78" s="86"/>
      <c r="F78" s="86"/>
      <c r="G78" s="86"/>
      <c r="H78" s="86"/>
      <c r="I78" s="86"/>
      <c r="J78" s="101"/>
      <c r="K78" s="86"/>
      <c r="L78" s="86"/>
      <c r="M78" s="86"/>
    </row>
    <row r="79" spans="1:13">
      <c r="A79" s="86"/>
      <c r="B79" s="86"/>
      <c r="C79" s="86"/>
      <c r="D79" s="86"/>
      <c r="E79" s="86"/>
      <c r="F79" s="86"/>
      <c r="G79" s="86"/>
      <c r="H79" s="86"/>
      <c r="I79" s="86"/>
      <c r="J79" s="101"/>
      <c r="K79" s="86"/>
      <c r="L79" s="86"/>
      <c r="M79" s="86"/>
    </row>
    <row r="80" spans="1:13">
      <c r="A80" s="86"/>
      <c r="B80" s="86"/>
      <c r="C80" s="86"/>
      <c r="D80" s="86"/>
      <c r="E80" s="86"/>
      <c r="F80" s="86"/>
      <c r="G80" s="86"/>
      <c r="H80" s="86"/>
      <c r="I80" s="86"/>
      <c r="J80" s="101"/>
      <c r="K80" s="86"/>
      <c r="L80" s="86"/>
      <c r="M80" s="86"/>
    </row>
    <row r="81" spans="1:13">
      <c r="A81" s="86"/>
      <c r="B81" s="86"/>
      <c r="C81" s="86"/>
      <c r="D81" s="86"/>
      <c r="E81" s="86"/>
      <c r="F81" s="86"/>
      <c r="G81" s="86"/>
      <c r="H81" s="86"/>
      <c r="I81" s="86"/>
      <c r="J81" s="101"/>
      <c r="K81" s="86"/>
      <c r="L81" s="86"/>
      <c r="M81" s="86"/>
    </row>
    <row r="82" spans="1:13">
      <c r="A82" s="86"/>
      <c r="B82" s="86"/>
      <c r="C82" s="86"/>
      <c r="D82" s="86"/>
      <c r="E82" s="86"/>
      <c r="F82" s="86"/>
      <c r="G82" s="86"/>
      <c r="H82" s="86"/>
      <c r="I82" s="86"/>
      <c r="J82" s="101"/>
      <c r="K82" s="86"/>
      <c r="L82" s="86"/>
      <c r="M82" s="86"/>
    </row>
    <row r="83" spans="1:13">
      <c r="A83" s="86"/>
      <c r="B83" s="86"/>
      <c r="C83" s="86"/>
      <c r="D83" s="86"/>
      <c r="E83" s="86"/>
      <c r="F83" s="86"/>
      <c r="G83" s="86"/>
      <c r="H83" s="86"/>
      <c r="I83" s="86"/>
      <c r="J83" s="101"/>
      <c r="K83" s="86"/>
      <c r="L83" s="86"/>
      <c r="M83" s="86"/>
    </row>
    <row r="84" spans="1:13">
      <c r="A84" s="86"/>
      <c r="B84" s="86"/>
      <c r="C84" s="86"/>
      <c r="D84" s="86"/>
      <c r="E84" s="86"/>
      <c r="F84" s="86"/>
      <c r="G84" s="86"/>
      <c r="H84" s="86"/>
      <c r="I84" s="86"/>
      <c r="J84" s="101"/>
      <c r="K84" s="86"/>
      <c r="L84" s="86"/>
      <c r="M84" s="86"/>
    </row>
    <row r="85" spans="1:13">
      <c r="A85" s="86"/>
      <c r="B85" s="86"/>
      <c r="C85" s="86"/>
      <c r="D85" s="86"/>
      <c r="E85" s="86"/>
      <c r="F85" s="86"/>
      <c r="G85" s="86"/>
      <c r="H85" s="86"/>
      <c r="I85" s="86"/>
      <c r="J85" s="101"/>
      <c r="K85" s="86"/>
      <c r="L85" s="86"/>
      <c r="M85" s="86"/>
    </row>
    <row r="86" spans="1:13">
      <c r="A86" s="86"/>
      <c r="B86" s="86"/>
      <c r="C86" s="86"/>
      <c r="D86" s="86"/>
      <c r="E86" s="86"/>
      <c r="F86" s="86"/>
      <c r="G86" s="86"/>
      <c r="H86" s="86"/>
      <c r="I86" s="86"/>
      <c r="J86" s="101"/>
      <c r="K86" s="86"/>
      <c r="L86" s="86"/>
      <c r="M86" s="86"/>
    </row>
    <row r="87" spans="1:13">
      <c r="A87" s="86"/>
      <c r="B87" s="86"/>
      <c r="C87" s="86"/>
      <c r="D87" s="86"/>
      <c r="E87" s="86"/>
      <c r="F87" s="86"/>
      <c r="G87" s="86"/>
      <c r="H87" s="86"/>
      <c r="I87" s="86"/>
      <c r="J87" s="101"/>
      <c r="K87" s="86"/>
      <c r="L87" s="86"/>
      <c r="M87" s="86"/>
    </row>
    <row r="88" spans="1:13">
      <c r="A88" s="86"/>
      <c r="B88" s="86"/>
      <c r="C88" s="86"/>
      <c r="D88" s="86"/>
      <c r="E88" s="86"/>
      <c r="F88" s="86"/>
      <c r="G88" s="86"/>
      <c r="H88" s="86"/>
      <c r="I88" s="86"/>
      <c r="J88" s="101"/>
      <c r="K88" s="86"/>
      <c r="L88" s="86"/>
      <c r="M88" s="86"/>
    </row>
    <row r="89" spans="1:13">
      <c r="A89" s="86"/>
      <c r="B89" s="86"/>
      <c r="C89" s="86"/>
      <c r="D89" s="86"/>
      <c r="E89" s="86"/>
      <c r="F89" s="86"/>
      <c r="G89" s="86"/>
      <c r="H89" s="86"/>
      <c r="I89" s="86"/>
      <c r="J89" s="101"/>
      <c r="K89" s="86"/>
      <c r="L89" s="86"/>
      <c r="M89" s="86"/>
    </row>
    <row r="90" spans="1:13">
      <c r="A90" s="86"/>
      <c r="B90" s="86"/>
      <c r="C90" s="86"/>
      <c r="D90" s="86"/>
      <c r="E90" s="86"/>
      <c r="F90" s="86"/>
      <c r="G90" s="86"/>
      <c r="H90" s="86"/>
      <c r="I90" s="86"/>
      <c r="J90" s="101"/>
      <c r="K90" s="86"/>
      <c r="L90" s="86"/>
      <c r="M90" s="86"/>
    </row>
    <row r="91" spans="1:13">
      <c r="A91" s="86"/>
      <c r="B91" s="86"/>
      <c r="C91" s="86"/>
      <c r="D91" s="86"/>
      <c r="E91" s="86"/>
      <c r="F91" s="86"/>
      <c r="G91" s="86"/>
      <c r="H91" s="86"/>
      <c r="I91" s="86"/>
      <c r="J91" s="101"/>
      <c r="K91" s="86"/>
      <c r="L91" s="86"/>
      <c r="M91" s="86"/>
    </row>
    <row r="92" spans="1:13">
      <c r="A92" s="86"/>
      <c r="B92" s="86"/>
      <c r="C92" s="86"/>
      <c r="D92" s="86"/>
      <c r="E92" s="86"/>
      <c r="F92" s="86"/>
      <c r="G92" s="86"/>
      <c r="H92" s="86"/>
      <c r="I92" s="86"/>
      <c r="J92" s="101"/>
      <c r="K92" s="86"/>
      <c r="L92" s="86"/>
      <c r="M92" s="86"/>
    </row>
    <row r="93" spans="1:13">
      <c r="A93" s="86"/>
      <c r="B93" s="86"/>
      <c r="C93" s="86"/>
      <c r="D93" s="86"/>
      <c r="E93" s="86"/>
      <c r="F93" s="86"/>
      <c r="G93" s="86"/>
      <c r="H93" s="86"/>
      <c r="I93" s="86"/>
      <c r="J93" s="101"/>
      <c r="K93" s="86"/>
      <c r="L93" s="86"/>
      <c r="M93" s="86"/>
    </row>
    <row r="94" spans="1:13">
      <c r="A94" s="86"/>
      <c r="B94" s="86"/>
      <c r="C94" s="86"/>
      <c r="D94" s="86"/>
      <c r="E94" s="86"/>
      <c r="F94" s="86"/>
      <c r="G94" s="86"/>
      <c r="H94" s="86"/>
      <c r="I94" s="86"/>
      <c r="J94" s="101"/>
      <c r="K94" s="86"/>
      <c r="L94" s="86"/>
      <c r="M94" s="86"/>
    </row>
    <row r="95" spans="1:13">
      <c r="A95" s="86"/>
      <c r="B95" s="86"/>
      <c r="C95" s="86"/>
      <c r="D95" s="86"/>
      <c r="E95" s="86"/>
      <c r="F95" s="86"/>
      <c r="G95" s="86"/>
      <c r="H95" s="86"/>
      <c r="I95" s="86"/>
      <c r="J95" s="101"/>
      <c r="K95" s="86"/>
      <c r="L95" s="86"/>
      <c r="M95" s="86"/>
    </row>
    <row r="96" spans="1:13">
      <c r="A96" s="86"/>
      <c r="B96" s="86"/>
      <c r="C96" s="86"/>
      <c r="D96" s="86"/>
      <c r="E96" s="86"/>
      <c r="F96" s="86"/>
      <c r="G96" s="86"/>
      <c r="H96" s="86"/>
      <c r="I96" s="86"/>
      <c r="J96" s="101"/>
      <c r="K96" s="86"/>
      <c r="L96" s="86"/>
      <c r="M96" s="86"/>
    </row>
    <row r="97" spans="1:13">
      <c r="A97" s="86"/>
      <c r="B97" s="86"/>
      <c r="C97" s="86"/>
      <c r="D97" s="86"/>
      <c r="E97" s="86"/>
      <c r="F97" s="86"/>
      <c r="G97" s="86"/>
      <c r="H97" s="86"/>
      <c r="I97" s="86"/>
      <c r="J97" s="101"/>
      <c r="K97" s="86"/>
      <c r="L97" s="86"/>
      <c r="M97" s="86"/>
    </row>
    <row r="98" spans="1:13">
      <c r="A98" s="86"/>
      <c r="B98" s="86"/>
      <c r="C98" s="86"/>
      <c r="D98" s="86"/>
      <c r="E98" s="86"/>
      <c r="F98" s="86"/>
      <c r="G98" s="86"/>
      <c r="H98" s="86"/>
      <c r="I98" s="86"/>
      <c r="J98" s="101"/>
      <c r="K98" s="86"/>
      <c r="L98" s="86"/>
      <c r="M98" s="86"/>
    </row>
    <row r="99" spans="1:13">
      <c r="A99" s="86"/>
      <c r="B99" s="86"/>
      <c r="C99" s="86"/>
      <c r="D99" s="86"/>
      <c r="E99" s="86"/>
      <c r="F99" s="86"/>
      <c r="G99" s="86"/>
      <c r="H99" s="86"/>
      <c r="I99" s="86"/>
      <c r="J99" s="101"/>
      <c r="K99" s="86"/>
      <c r="L99" s="86"/>
      <c r="M99" s="86"/>
    </row>
    <row r="100" spans="1:13">
      <c r="A100" s="86"/>
      <c r="B100" s="86"/>
      <c r="C100" s="86"/>
      <c r="D100" s="86"/>
      <c r="E100" s="86"/>
      <c r="F100" s="86"/>
      <c r="G100" s="86"/>
      <c r="H100" s="86"/>
      <c r="I100" s="86"/>
      <c r="J100" s="101"/>
      <c r="K100" s="86"/>
      <c r="L100" s="86"/>
      <c r="M100" s="86"/>
    </row>
    <row r="101" spans="1:13">
      <c r="A101" s="86"/>
      <c r="B101" s="86"/>
      <c r="C101" s="86"/>
      <c r="D101" s="86"/>
      <c r="E101" s="86"/>
      <c r="F101" s="86"/>
      <c r="G101" s="86"/>
      <c r="H101" s="86"/>
      <c r="I101" s="86"/>
      <c r="J101" s="101"/>
      <c r="K101" s="86"/>
      <c r="L101" s="86"/>
      <c r="M101" s="86"/>
    </row>
    <row r="102" spans="1:13">
      <c r="A102" s="86"/>
      <c r="B102" s="86"/>
      <c r="C102" s="86"/>
      <c r="D102" s="86"/>
      <c r="E102" s="86"/>
      <c r="F102" s="86"/>
      <c r="G102" s="86"/>
      <c r="H102" s="86"/>
      <c r="I102" s="86"/>
      <c r="J102" s="101"/>
      <c r="K102" s="86"/>
      <c r="L102" s="86"/>
      <c r="M102" s="86"/>
    </row>
    <row r="103" spans="1:13">
      <c r="A103" s="86"/>
      <c r="B103" s="86"/>
      <c r="C103" s="86"/>
      <c r="D103" s="86"/>
      <c r="E103" s="86"/>
      <c r="F103" s="86"/>
      <c r="G103" s="86"/>
      <c r="H103" s="86"/>
      <c r="I103" s="86"/>
      <c r="J103" s="101"/>
      <c r="K103" s="86"/>
      <c r="L103" s="86"/>
      <c r="M103" s="86"/>
    </row>
    <row r="104" spans="1:13">
      <c r="A104" s="86"/>
      <c r="B104" s="86"/>
      <c r="C104" s="86"/>
      <c r="D104" s="86"/>
      <c r="E104" s="86"/>
      <c r="F104" s="86"/>
      <c r="G104" s="86"/>
      <c r="H104" s="86"/>
      <c r="I104" s="86"/>
      <c r="J104" s="101"/>
      <c r="K104" s="86"/>
      <c r="L104" s="86"/>
      <c r="M104" s="86"/>
    </row>
    <row r="105" spans="1:13">
      <c r="A105" s="86"/>
      <c r="B105" s="86"/>
      <c r="C105" s="86"/>
      <c r="D105" s="86"/>
      <c r="E105" s="86"/>
      <c r="F105" s="86"/>
      <c r="G105" s="86"/>
      <c r="H105" s="86"/>
      <c r="I105" s="86"/>
      <c r="J105" s="101"/>
      <c r="K105" s="86"/>
      <c r="L105" s="86"/>
      <c r="M105" s="86"/>
    </row>
    <row r="106" spans="1:13">
      <c r="A106" s="86"/>
      <c r="B106" s="86"/>
      <c r="C106" s="86"/>
      <c r="D106" s="86"/>
      <c r="E106" s="86"/>
      <c r="F106" s="86"/>
      <c r="G106" s="86"/>
      <c r="H106" s="86"/>
      <c r="I106" s="86"/>
      <c r="J106" s="101"/>
      <c r="K106" s="86"/>
      <c r="L106" s="86"/>
      <c r="M106" s="86"/>
    </row>
    <row r="107" spans="1:13">
      <c r="A107" s="86"/>
      <c r="B107" s="86"/>
      <c r="C107" s="86"/>
      <c r="D107" s="86"/>
      <c r="E107" s="86"/>
      <c r="F107" s="86"/>
      <c r="G107" s="86"/>
      <c r="H107" s="86"/>
      <c r="I107" s="86"/>
      <c r="J107" s="101"/>
      <c r="K107" s="86"/>
      <c r="L107" s="86"/>
      <c r="M107" s="86"/>
    </row>
    <row r="108" spans="1:13">
      <c r="A108" s="86"/>
      <c r="B108" s="86"/>
      <c r="C108" s="86"/>
      <c r="D108" s="86"/>
      <c r="E108" s="86"/>
      <c r="F108" s="86"/>
      <c r="G108" s="86"/>
      <c r="H108" s="86"/>
      <c r="I108" s="86"/>
      <c r="J108" s="101"/>
      <c r="K108" s="86"/>
      <c r="L108" s="86"/>
      <c r="M108" s="86"/>
    </row>
    <row r="109" spans="1:13">
      <c r="A109" s="86"/>
      <c r="B109" s="86"/>
      <c r="C109" s="86"/>
      <c r="D109" s="86"/>
      <c r="E109" s="86"/>
      <c r="F109" s="86"/>
      <c r="G109" s="86"/>
      <c r="H109" s="86"/>
      <c r="I109" s="86"/>
      <c r="J109" s="101"/>
      <c r="K109" s="86"/>
      <c r="L109" s="86"/>
      <c r="M109" s="86"/>
    </row>
    <row r="110" spans="1:13">
      <c r="A110" s="86"/>
      <c r="B110" s="86"/>
      <c r="C110" s="86"/>
      <c r="D110" s="86"/>
      <c r="E110" s="86"/>
      <c r="F110" s="86"/>
      <c r="G110" s="86"/>
      <c r="H110" s="86"/>
      <c r="I110" s="86"/>
      <c r="J110" s="101"/>
      <c r="K110" s="86"/>
      <c r="L110" s="86"/>
      <c r="M110" s="86"/>
    </row>
    <row r="111" spans="1:13">
      <c r="A111" s="86"/>
      <c r="B111" s="86"/>
      <c r="C111" s="86"/>
      <c r="D111" s="86"/>
      <c r="E111" s="86"/>
      <c r="F111" s="86"/>
      <c r="G111" s="86"/>
      <c r="H111" s="86"/>
      <c r="I111" s="86"/>
      <c r="J111" s="101"/>
      <c r="K111" s="86"/>
      <c r="L111" s="86"/>
      <c r="M111" s="86"/>
    </row>
    <row r="112" spans="1:13">
      <c r="A112" s="86"/>
      <c r="B112" s="86"/>
      <c r="C112" s="86"/>
      <c r="D112" s="86"/>
      <c r="E112" s="86"/>
      <c r="F112" s="86"/>
      <c r="G112" s="86"/>
      <c r="H112" s="86"/>
      <c r="I112" s="86"/>
      <c r="J112" s="101"/>
      <c r="K112" s="86"/>
      <c r="L112" s="86"/>
      <c r="M112" s="86"/>
    </row>
    <row r="113" spans="1:13">
      <c r="A113" s="86"/>
      <c r="B113" s="86"/>
      <c r="C113" s="86"/>
      <c r="D113" s="86"/>
      <c r="E113" s="86"/>
      <c r="F113" s="86"/>
      <c r="G113" s="86"/>
      <c r="H113" s="86"/>
      <c r="I113" s="86"/>
      <c r="J113" s="101"/>
      <c r="K113" s="86"/>
      <c r="L113" s="86"/>
      <c r="M113" s="86"/>
    </row>
    <row r="114" spans="1:13">
      <c r="A114" s="86"/>
      <c r="B114" s="86"/>
      <c r="C114" s="86"/>
      <c r="D114" s="86"/>
      <c r="E114" s="86"/>
      <c r="F114" s="86"/>
      <c r="G114" s="86"/>
      <c r="H114" s="86"/>
      <c r="I114" s="86"/>
      <c r="J114" s="101"/>
      <c r="K114" s="86"/>
      <c r="L114" s="86"/>
      <c r="M114" s="86"/>
    </row>
    <row r="115" spans="1:13">
      <c r="A115" s="86"/>
      <c r="B115" s="86"/>
      <c r="C115" s="86"/>
      <c r="D115" s="86"/>
      <c r="E115" s="86"/>
      <c r="F115" s="86"/>
      <c r="G115" s="86"/>
      <c r="H115" s="86"/>
      <c r="I115" s="86"/>
      <c r="J115" s="101"/>
      <c r="K115" s="86"/>
      <c r="L115" s="86"/>
      <c r="M115" s="86"/>
    </row>
    <row r="116" spans="1:13">
      <c r="A116" s="86"/>
      <c r="B116" s="86"/>
      <c r="C116" s="86"/>
      <c r="D116" s="86"/>
      <c r="E116" s="86"/>
      <c r="F116" s="86"/>
      <c r="G116" s="86"/>
      <c r="H116" s="86"/>
      <c r="I116" s="86"/>
      <c r="J116" s="101"/>
      <c r="K116" s="86"/>
      <c r="L116" s="86"/>
      <c r="M116" s="86"/>
    </row>
    <row r="117" spans="1:13">
      <c r="A117" s="86"/>
      <c r="B117" s="86"/>
      <c r="C117" s="86"/>
      <c r="D117" s="86"/>
      <c r="E117" s="86"/>
      <c r="F117" s="86"/>
      <c r="G117" s="86"/>
      <c r="H117" s="86"/>
      <c r="I117" s="86"/>
      <c r="J117" s="101"/>
      <c r="K117" s="86"/>
      <c r="L117" s="86"/>
      <c r="M117" s="86"/>
    </row>
    <row r="118" spans="1:13">
      <c r="A118" s="86"/>
      <c r="B118" s="86"/>
      <c r="C118" s="86"/>
      <c r="D118" s="86"/>
      <c r="E118" s="86"/>
      <c r="F118" s="86"/>
      <c r="G118" s="86"/>
      <c r="H118" s="86"/>
      <c r="I118" s="86"/>
      <c r="J118" s="101"/>
      <c r="K118" s="86"/>
      <c r="L118" s="86"/>
      <c r="M118" s="86"/>
    </row>
    <row r="119" spans="1:13">
      <c r="A119" s="86"/>
      <c r="B119" s="86"/>
      <c r="C119" s="86"/>
      <c r="D119" s="86"/>
      <c r="E119" s="86"/>
      <c r="F119" s="86"/>
      <c r="G119" s="86"/>
      <c r="H119" s="86"/>
      <c r="I119" s="86"/>
      <c r="J119" s="101"/>
      <c r="K119" s="86"/>
      <c r="L119" s="86"/>
      <c r="M119" s="86"/>
    </row>
    <row r="120" spans="1:13">
      <c r="A120" s="86"/>
      <c r="B120" s="86"/>
      <c r="C120" s="86"/>
      <c r="D120" s="86"/>
      <c r="E120" s="86"/>
      <c r="F120" s="86"/>
      <c r="G120" s="86"/>
      <c r="H120" s="86"/>
      <c r="I120" s="86"/>
      <c r="J120" s="101"/>
      <c r="K120" s="86"/>
      <c r="L120" s="86"/>
      <c r="M120" s="86"/>
    </row>
    <row r="121" spans="1:13">
      <c r="A121" s="86"/>
      <c r="B121" s="86"/>
      <c r="C121" s="86"/>
      <c r="D121" s="86"/>
      <c r="E121" s="86"/>
      <c r="F121" s="86"/>
      <c r="G121" s="86"/>
      <c r="H121" s="86"/>
      <c r="I121" s="86"/>
      <c r="J121" s="101"/>
      <c r="K121" s="86"/>
      <c r="L121" s="86"/>
      <c r="M121" s="86"/>
    </row>
    <row r="122" spans="1:13">
      <c r="A122" s="86"/>
      <c r="B122" s="86"/>
      <c r="C122" s="86"/>
      <c r="D122" s="86"/>
      <c r="E122" s="86"/>
      <c r="F122" s="86"/>
      <c r="G122" s="86"/>
      <c r="H122" s="86"/>
      <c r="I122" s="86"/>
      <c r="J122" s="101"/>
      <c r="K122" s="86"/>
      <c r="L122" s="86"/>
      <c r="M122" s="86"/>
    </row>
    <row r="123" spans="1:13">
      <c r="A123" s="86"/>
      <c r="B123" s="86"/>
      <c r="C123" s="86"/>
      <c r="D123" s="86"/>
      <c r="E123" s="86"/>
      <c r="F123" s="86"/>
      <c r="G123" s="86"/>
      <c r="H123" s="86"/>
      <c r="I123" s="86"/>
      <c r="J123" s="101"/>
      <c r="K123" s="86"/>
      <c r="L123" s="86"/>
      <c r="M123" s="86"/>
    </row>
    <row r="124" spans="1:13">
      <c r="A124" s="86"/>
      <c r="B124" s="86"/>
      <c r="C124" s="86"/>
      <c r="D124" s="86"/>
      <c r="E124" s="86"/>
      <c r="F124" s="86"/>
      <c r="G124" s="86"/>
      <c r="H124" s="86"/>
      <c r="I124" s="86"/>
      <c r="J124" s="101"/>
      <c r="K124" s="86"/>
      <c r="L124" s="86"/>
      <c r="M124" s="86"/>
    </row>
    <row r="125" spans="1:13">
      <c r="A125" s="86"/>
      <c r="B125" s="86"/>
      <c r="C125" s="86"/>
      <c r="D125" s="86"/>
      <c r="E125" s="86"/>
      <c r="F125" s="86"/>
      <c r="G125" s="86"/>
      <c r="H125" s="86"/>
      <c r="I125" s="86"/>
      <c r="J125" s="101"/>
      <c r="K125" s="86"/>
      <c r="L125" s="86"/>
      <c r="M125" s="86"/>
    </row>
    <row r="126" spans="1:13">
      <c r="A126" s="86"/>
      <c r="B126" s="86"/>
      <c r="C126" s="86"/>
      <c r="D126" s="86"/>
      <c r="E126" s="86"/>
      <c r="F126" s="86"/>
      <c r="G126" s="86"/>
      <c r="H126" s="86"/>
      <c r="I126" s="86"/>
      <c r="J126" s="101"/>
      <c r="K126" s="86"/>
      <c r="L126" s="86"/>
      <c r="M126" s="86"/>
    </row>
    <row r="127" spans="1:13">
      <c r="A127" s="86"/>
      <c r="B127" s="86"/>
      <c r="C127" s="86"/>
      <c r="D127" s="86"/>
      <c r="E127" s="86"/>
      <c r="F127" s="86"/>
      <c r="G127" s="86"/>
      <c r="H127" s="86"/>
      <c r="I127" s="86"/>
      <c r="J127" s="101"/>
      <c r="K127" s="86"/>
      <c r="L127" s="86"/>
      <c r="M127" s="86"/>
    </row>
    <row r="128" spans="1:13">
      <c r="A128" s="86"/>
      <c r="B128" s="86"/>
      <c r="C128" s="86"/>
      <c r="D128" s="86"/>
      <c r="E128" s="86"/>
      <c r="F128" s="86"/>
      <c r="G128" s="86"/>
      <c r="H128" s="86"/>
      <c r="I128" s="86"/>
      <c r="J128" s="101"/>
      <c r="K128" s="86"/>
      <c r="L128" s="86"/>
      <c r="M128" s="86"/>
    </row>
    <row r="129" spans="10:10">
      <c r="J129" s="110"/>
    </row>
    <row r="130" spans="10:10">
      <c r="J130" s="110"/>
    </row>
    <row r="131" spans="10:10">
      <c r="J131" s="110"/>
    </row>
    <row r="132" spans="10:10">
      <c r="J132" s="110"/>
    </row>
    <row r="133" spans="10:10">
      <c r="J133" s="110"/>
    </row>
    <row r="134" spans="10:10">
      <c r="J134" s="110"/>
    </row>
    <row r="135" spans="10:10">
      <c r="J135" s="110"/>
    </row>
    <row r="136" spans="10:10">
      <c r="J136" s="110"/>
    </row>
    <row r="137" spans="10:10">
      <c r="J137" s="110"/>
    </row>
    <row r="138" spans="10:10">
      <c r="J138" s="110"/>
    </row>
    <row r="139" spans="10:10">
      <c r="J139" s="110"/>
    </row>
    <row r="140" spans="10:10">
      <c r="J140" s="110"/>
    </row>
    <row r="141" spans="10:10">
      <c r="J141" s="110"/>
    </row>
    <row r="142" spans="10:10">
      <c r="J142" s="110"/>
    </row>
    <row r="143" spans="10:10">
      <c r="J143" s="110"/>
    </row>
    <row r="144" spans="10:10">
      <c r="J144" s="110"/>
    </row>
    <row r="145" spans="10:10">
      <c r="J145" s="110"/>
    </row>
    <row r="146" spans="10:10">
      <c r="J146" s="110"/>
    </row>
    <row r="147" spans="10:10">
      <c r="J147" s="110"/>
    </row>
    <row r="148" spans="10:10">
      <c r="J148" s="110"/>
    </row>
    <row r="149" spans="10:10">
      <c r="J149" s="110"/>
    </row>
    <row r="150" spans="10:10">
      <c r="J150" s="110"/>
    </row>
    <row r="151" spans="10:10">
      <c r="J151" s="110"/>
    </row>
    <row r="152" spans="10:10">
      <c r="J152" s="110"/>
    </row>
    <row r="153" spans="10:10">
      <c r="J153" s="110"/>
    </row>
    <row r="154" spans="10:10">
      <c r="J154" s="110"/>
    </row>
    <row r="155" spans="10:10">
      <c r="J155" s="110"/>
    </row>
    <row r="156" spans="10:10">
      <c r="J156" s="110"/>
    </row>
    <row r="157" spans="10:10">
      <c r="J157" s="110"/>
    </row>
    <row r="158" spans="10:10">
      <c r="J158" s="110"/>
    </row>
    <row r="159" spans="10:10">
      <c r="J159" s="110"/>
    </row>
    <row r="160" spans="10:10">
      <c r="J160" s="110"/>
    </row>
    <row r="161" spans="10:10">
      <c r="J161" s="110"/>
    </row>
    <row r="162" spans="10:10">
      <c r="J162" s="110"/>
    </row>
    <row r="163" spans="10:10">
      <c r="J163" s="110"/>
    </row>
    <row r="164" spans="10:10">
      <c r="J164" s="110"/>
    </row>
    <row r="165" spans="10:10">
      <c r="J165" s="110"/>
    </row>
    <row r="166" spans="10:10">
      <c r="J166" s="110"/>
    </row>
    <row r="167" spans="10:10">
      <c r="J167" s="110"/>
    </row>
    <row r="168" spans="10:10">
      <c r="J168" s="110"/>
    </row>
    <row r="169" spans="10:10">
      <c r="J169" s="110"/>
    </row>
    <row r="170" spans="10:10">
      <c r="J170" s="110"/>
    </row>
    <row r="171" spans="10:10">
      <c r="J171" s="110"/>
    </row>
    <row r="172" spans="10:10">
      <c r="J172" s="110"/>
    </row>
    <row r="173" spans="10:10">
      <c r="J173" s="110"/>
    </row>
    <row r="174" spans="10:10">
      <c r="J174" s="110"/>
    </row>
    <row r="175" spans="10:10">
      <c r="J175" s="110"/>
    </row>
    <row r="176" spans="10:10">
      <c r="J176" s="110"/>
    </row>
    <row r="177" spans="10:10">
      <c r="J177" s="110"/>
    </row>
    <row r="178" spans="10:10">
      <c r="J178" s="110"/>
    </row>
    <row r="179" spans="10:10">
      <c r="J179" s="110"/>
    </row>
    <row r="180" spans="10:10">
      <c r="J180" s="110"/>
    </row>
    <row r="181" spans="10:10">
      <c r="J181" s="110"/>
    </row>
    <row r="182" spans="10:10">
      <c r="J182" s="110"/>
    </row>
    <row r="183" spans="10:10">
      <c r="J183" s="110"/>
    </row>
    <row r="184" spans="10:10">
      <c r="J184" s="110"/>
    </row>
    <row r="185" spans="10:10">
      <c r="J185" s="110"/>
    </row>
    <row r="186" spans="10:10">
      <c r="J186" s="110"/>
    </row>
    <row r="187" spans="10:10">
      <c r="J187" s="110"/>
    </row>
    <row r="188" spans="10:10">
      <c r="J188" s="110"/>
    </row>
    <row r="189" spans="10:10">
      <c r="J189" s="110"/>
    </row>
    <row r="190" spans="10:10">
      <c r="J190" s="110"/>
    </row>
    <row r="191" spans="10:10">
      <c r="J191" s="110"/>
    </row>
    <row r="192" spans="10:10">
      <c r="J192" s="110"/>
    </row>
    <row r="193" spans="10:10">
      <c r="J193" s="110"/>
    </row>
    <row r="194" spans="10:10">
      <c r="J194" s="110"/>
    </row>
    <row r="195" spans="10:10">
      <c r="J195" s="110"/>
    </row>
    <row r="196" spans="10:10">
      <c r="J196" s="110"/>
    </row>
    <row r="197" spans="10:10">
      <c r="J197" s="110"/>
    </row>
    <row r="198" spans="10:10">
      <c r="J198" s="110"/>
    </row>
    <row r="199" spans="10:10">
      <c r="J199" s="110"/>
    </row>
    <row r="200" spans="10:10">
      <c r="J200" s="110"/>
    </row>
    <row r="201" spans="10:10">
      <c r="J201" s="110"/>
    </row>
    <row r="202" spans="10:10">
      <c r="J202" s="110"/>
    </row>
    <row r="203" spans="10:10">
      <c r="J203" s="110"/>
    </row>
    <row r="204" spans="10:10">
      <c r="J204" s="110"/>
    </row>
    <row r="205" spans="10:10">
      <c r="J205" s="110"/>
    </row>
    <row r="206" spans="10:10">
      <c r="J206" s="110"/>
    </row>
    <row r="207" spans="10:10">
      <c r="J207" s="110"/>
    </row>
    <row r="208" spans="10:10">
      <c r="J208" s="110"/>
    </row>
    <row r="209" spans="10:10">
      <c r="J209" s="110"/>
    </row>
    <row r="210" spans="10:10">
      <c r="J210" s="110"/>
    </row>
    <row r="211" spans="10:10">
      <c r="J211" s="110"/>
    </row>
    <row r="212" spans="10:10">
      <c r="J212" s="110"/>
    </row>
    <row r="213" spans="10:10">
      <c r="J213" s="110"/>
    </row>
    <row r="214" spans="10:10">
      <c r="J214" s="110"/>
    </row>
    <row r="215" spans="10:10">
      <c r="J215" s="110"/>
    </row>
    <row r="216" spans="10:10">
      <c r="J216" s="110"/>
    </row>
    <row r="217" spans="10:10">
      <c r="J217" s="110"/>
    </row>
    <row r="218" spans="10:10">
      <c r="J218" s="110"/>
    </row>
    <row r="219" spans="10:10">
      <c r="J219" s="110"/>
    </row>
    <row r="220" spans="10:10">
      <c r="J220" s="110"/>
    </row>
    <row r="221" spans="10:10">
      <c r="J221" s="110"/>
    </row>
    <row r="222" spans="10:10">
      <c r="J222" s="110"/>
    </row>
    <row r="223" spans="10:10">
      <c r="J223" s="110"/>
    </row>
    <row r="224" spans="10:10">
      <c r="J224" s="110"/>
    </row>
    <row r="225" spans="10:10">
      <c r="J225" s="110"/>
    </row>
    <row r="226" spans="10:10">
      <c r="J226" s="110"/>
    </row>
    <row r="227" spans="10:10">
      <c r="J227" s="110"/>
    </row>
    <row r="228" spans="10:10">
      <c r="J228" s="110"/>
    </row>
    <row r="229" spans="10:10">
      <c r="J229" s="110"/>
    </row>
    <row r="230" spans="10:10">
      <c r="J230" s="110"/>
    </row>
    <row r="231" spans="10:10">
      <c r="J231" s="110"/>
    </row>
    <row r="232" spans="10:10">
      <c r="J232" s="110"/>
    </row>
    <row r="233" spans="10:10">
      <c r="J233" s="110"/>
    </row>
    <row r="234" spans="10:10">
      <c r="J234" s="110"/>
    </row>
    <row r="235" spans="10:10">
      <c r="J235" s="110"/>
    </row>
    <row r="236" spans="10:10">
      <c r="J236" s="110"/>
    </row>
    <row r="237" spans="10:10">
      <c r="J237" s="110"/>
    </row>
    <row r="238" spans="10:10">
      <c r="J238" s="110"/>
    </row>
    <row r="239" spans="10:10">
      <c r="J239" s="110"/>
    </row>
    <row r="240" spans="10:10">
      <c r="J240" s="110"/>
    </row>
    <row r="241" spans="10:10">
      <c r="J241" s="110"/>
    </row>
    <row r="242" spans="10:10">
      <c r="J242" s="110"/>
    </row>
    <row r="243" spans="10:10">
      <c r="J243" s="110"/>
    </row>
    <row r="244" spans="10:10">
      <c r="J244" s="110"/>
    </row>
    <row r="245" spans="10:10">
      <c r="J245" s="110"/>
    </row>
    <row r="246" spans="10:10">
      <c r="J246" s="110"/>
    </row>
    <row r="247" spans="10:10">
      <c r="J247" s="110"/>
    </row>
    <row r="248" spans="10:10">
      <c r="J248" s="110"/>
    </row>
    <row r="249" spans="10:10">
      <c r="J249" s="110"/>
    </row>
    <row r="250" spans="10:10">
      <c r="J250" s="110"/>
    </row>
    <row r="251" spans="10:10">
      <c r="J251" s="110"/>
    </row>
    <row r="252" spans="10:10">
      <c r="J252" s="110"/>
    </row>
    <row r="253" spans="10:10">
      <c r="J253" s="110"/>
    </row>
    <row r="254" spans="10:10">
      <c r="J254" s="110"/>
    </row>
    <row r="255" spans="10:10">
      <c r="J255" s="110"/>
    </row>
    <row r="256" spans="10:10">
      <c r="J256" s="110"/>
    </row>
    <row r="257" spans="10:10">
      <c r="J257" s="110"/>
    </row>
    <row r="258" spans="10:10">
      <c r="J258" s="110"/>
    </row>
    <row r="259" spans="10:10">
      <c r="J259" s="110"/>
    </row>
    <row r="260" spans="10:10">
      <c r="J260" s="110"/>
    </row>
    <row r="261" spans="10:10">
      <c r="J261" s="110"/>
    </row>
    <row r="262" spans="10:10">
      <c r="J262" s="110"/>
    </row>
    <row r="263" spans="10:10">
      <c r="J263" s="110"/>
    </row>
    <row r="264" spans="10:10">
      <c r="J264" s="110"/>
    </row>
    <row r="265" spans="10:10">
      <c r="J265" s="110"/>
    </row>
    <row r="266" spans="10:10">
      <c r="J266" s="110"/>
    </row>
    <row r="267" spans="10:10">
      <c r="J267" s="110"/>
    </row>
    <row r="268" spans="10:10">
      <c r="J268" s="110"/>
    </row>
    <row r="269" spans="10:10">
      <c r="J269" s="110"/>
    </row>
    <row r="270" spans="10:10">
      <c r="J270" s="110"/>
    </row>
    <row r="271" spans="10:10">
      <c r="J271" s="110"/>
    </row>
    <row r="272" spans="10:10">
      <c r="J272" s="110"/>
    </row>
    <row r="273" spans="10:10">
      <c r="J273" s="110"/>
    </row>
    <row r="274" spans="10:10">
      <c r="J274" s="110"/>
    </row>
    <row r="275" spans="10:10">
      <c r="J275" s="110"/>
    </row>
    <row r="276" spans="10:10">
      <c r="J276" s="110"/>
    </row>
    <row r="277" spans="10:10">
      <c r="J277" s="110"/>
    </row>
    <row r="278" spans="10:10">
      <c r="J278" s="110"/>
    </row>
    <row r="279" spans="10:10">
      <c r="J279" s="110"/>
    </row>
    <row r="280" spans="10:10">
      <c r="J280" s="110"/>
    </row>
    <row r="281" spans="10:10">
      <c r="J281" s="110"/>
    </row>
    <row r="282" spans="10:10">
      <c r="J282" s="110"/>
    </row>
    <row r="283" spans="10:10">
      <c r="J283" s="110"/>
    </row>
    <row r="284" spans="10:10">
      <c r="J284" s="110"/>
    </row>
    <row r="285" spans="10:10">
      <c r="J285" s="110"/>
    </row>
    <row r="286" spans="10:10">
      <c r="J286" s="110"/>
    </row>
    <row r="287" spans="10:10">
      <c r="J287" s="110"/>
    </row>
    <row r="288" spans="10:10">
      <c r="J288" s="110"/>
    </row>
    <row r="289" spans="10:10">
      <c r="J289" s="110"/>
    </row>
    <row r="290" spans="10:10">
      <c r="J290" s="110"/>
    </row>
    <row r="291" spans="10:10">
      <c r="J291" s="110"/>
    </row>
    <row r="292" spans="10:10">
      <c r="J292" s="110"/>
    </row>
    <row r="293" spans="10:10">
      <c r="J293" s="110"/>
    </row>
    <row r="294" spans="10:10">
      <c r="J294" s="110"/>
    </row>
    <row r="295" spans="10:10">
      <c r="J295" s="110"/>
    </row>
    <row r="296" spans="10:10">
      <c r="J296" s="110"/>
    </row>
    <row r="297" spans="10:10">
      <c r="J297" s="110"/>
    </row>
    <row r="298" spans="10:10">
      <c r="J298" s="110"/>
    </row>
    <row r="299" spans="10:10">
      <c r="J299" s="110"/>
    </row>
    <row r="300" spans="10:10">
      <c r="J300" s="110"/>
    </row>
    <row r="301" spans="10:10">
      <c r="J301" s="110"/>
    </row>
    <row r="302" spans="10:10">
      <c r="J302" s="110"/>
    </row>
    <row r="303" spans="10:10">
      <c r="J303" s="110"/>
    </row>
    <row r="304" spans="10:10">
      <c r="J304" s="110"/>
    </row>
    <row r="305" spans="10:10">
      <c r="J305" s="110"/>
    </row>
    <row r="306" spans="10:10">
      <c r="J306" s="110"/>
    </row>
    <row r="307" spans="10:10">
      <c r="J307" s="110"/>
    </row>
    <row r="308" spans="10:10">
      <c r="J308" s="110"/>
    </row>
    <row r="309" spans="10:10">
      <c r="J309" s="110"/>
    </row>
    <row r="310" spans="10:10">
      <c r="J310" s="110"/>
    </row>
    <row r="311" spans="10:10">
      <c r="J311" s="110"/>
    </row>
    <row r="312" spans="10:10">
      <c r="J312" s="110"/>
    </row>
    <row r="313" spans="10:10">
      <c r="J313" s="110"/>
    </row>
    <row r="314" spans="10:10">
      <c r="J314" s="110"/>
    </row>
    <row r="315" spans="10:10">
      <c r="J315" s="110"/>
    </row>
    <row r="316" spans="10:10">
      <c r="J316" s="110"/>
    </row>
    <row r="317" spans="10:10">
      <c r="J317" s="110"/>
    </row>
    <row r="318" spans="10:10">
      <c r="J318" s="110"/>
    </row>
    <row r="319" spans="10:10">
      <c r="J319" s="110"/>
    </row>
    <row r="320" spans="10:10">
      <c r="J320" s="110"/>
    </row>
    <row r="321" spans="10:10">
      <c r="J321" s="110"/>
    </row>
    <row r="322" spans="10:10">
      <c r="J322" s="110"/>
    </row>
    <row r="323" spans="10:10">
      <c r="J323" s="110"/>
    </row>
    <row r="324" spans="10:10">
      <c r="J324" s="110"/>
    </row>
    <row r="325" spans="10:10">
      <c r="J325" s="110"/>
    </row>
    <row r="326" spans="10:10">
      <c r="J326" s="110"/>
    </row>
    <row r="327" spans="10:10">
      <c r="J327" s="110"/>
    </row>
    <row r="328" spans="10:10">
      <c r="J328" s="110"/>
    </row>
    <row r="329" spans="10:10">
      <c r="J329" s="110"/>
    </row>
    <row r="330" spans="10:10">
      <c r="J330" s="110"/>
    </row>
    <row r="331" spans="10:10">
      <c r="J331" s="110"/>
    </row>
    <row r="332" spans="10:10">
      <c r="J332" s="110"/>
    </row>
    <row r="333" spans="10:10">
      <c r="J333" s="110"/>
    </row>
    <row r="334" spans="10:10">
      <c r="J334" s="110"/>
    </row>
    <row r="335" spans="10:10">
      <c r="J335" s="110"/>
    </row>
    <row r="336" spans="10:10">
      <c r="J336" s="110"/>
    </row>
    <row r="337" spans="10:10">
      <c r="J337" s="110"/>
    </row>
    <row r="338" spans="10:10">
      <c r="J338" s="110"/>
    </row>
    <row r="339" spans="10:10">
      <c r="J339" s="110"/>
    </row>
    <row r="340" spans="10:10">
      <c r="J340" s="110"/>
    </row>
    <row r="341" spans="10:10">
      <c r="J341" s="110"/>
    </row>
    <row r="342" spans="10:10">
      <c r="J342" s="110"/>
    </row>
    <row r="343" spans="10:10">
      <c r="J343" s="110"/>
    </row>
    <row r="344" spans="10:10">
      <c r="J344" s="110"/>
    </row>
    <row r="345" spans="10:10">
      <c r="J345" s="110"/>
    </row>
    <row r="346" spans="10:10">
      <c r="J346" s="110"/>
    </row>
    <row r="347" spans="10:10">
      <c r="J347" s="110"/>
    </row>
    <row r="348" spans="10:10">
      <c r="J348" s="110"/>
    </row>
    <row r="349" spans="10:10">
      <c r="J349" s="110"/>
    </row>
    <row r="350" spans="10:10">
      <c r="J350" s="110"/>
    </row>
    <row r="351" spans="10:10">
      <c r="J351" s="110"/>
    </row>
    <row r="352" spans="10:10">
      <c r="J352" s="110"/>
    </row>
    <row r="353" spans="10:10">
      <c r="J353" s="110"/>
    </row>
    <row r="354" spans="10:10">
      <c r="J354" s="110"/>
    </row>
    <row r="355" spans="10:10">
      <c r="J355" s="110"/>
    </row>
    <row r="356" spans="10:10">
      <c r="J356" s="110"/>
    </row>
    <row r="357" spans="10:10">
      <c r="J357" s="110"/>
    </row>
    <row r="358" spans="10:10">
      <c r="J358" s="110"/>
    </row>
    <row r="359" spans="10:10">
      <c r="J359" s="110"/>
    </row>
    <row r="360" spans="10:10">
      <c r="J360" s="110"/>
    </row>
    <row r="361" spans="10:10">
      <c r="J361" s="110"/>
    </row>
    <row r="362" spans="10:10">
      <c r="J362" s="110"/>
    </row>
    <row r="363" spans="10:10">
      <c r="J363" s="110"/>
    </row>
    <row r="364" spans="10:10">
      <c r="J364" s="110"/>
    </row>
    <row r="365" spans="10:10">
      <c r="J365" s="110"/>
    </row>
    <row r="366" spans="10:10">
      <c r="J366" s="110"/>
    </row>
    <row r="367" spans="10:10">
      <c r="J367" s="110"/>
    </row>
    <row r="368" spans="10:10">
      <c r="J368" s="110"/>
    </row>
    <row r="369" spans="10:10">
      <c r="J369" s="110"/>
    </row>
    <row r="370" spans="10:10">
      <c r="J370" s="110"/>
    </row>
    <row r="371" spans="10:10">
      <c r="J371" s="110"/>
    </row>
    <row r="372" spans="10:10">
      <c r="J372" s="110"/>
    </row>
    <row r="373" spans="10:10">
      <c r="J373" s="110"/>
    </row>
    <row r="374" spans="10:10">
      <c r="J374" s="110"/>
    </row>
    <row r="375" spans="10:10">
      <c r="J375" s="110"/>
    </row>
    <row r="376" spans="10:10">
      <c r="J376" s="110"/>
    </row>
    <row r="377" spans="10:10">
      <c r="J377" s="110"/>
    </row>
    <row r="378" spans="10:10">
      <c r="J378" s="110"/>
    </row>
    <row r="379" spans="10:10">
      <c r="J379" s="110"/>
    </row>
    <row r="380" spans="10:10">
      <c r="J380" s="110"/>
    </row>
    <row r="381" spans="10:10">
      <c r="J381" s="110"/>
    </row>
    <row r="382" spans="10:10">
      <c r="J382" s="110"/>
    </row>
    <row r="383" spans="10:10">
      <c r="J383" s="110"/>
    </row>
    <row r="384" spans="10:10">
      <c r="J384" s="110"/>
    </row>
    <row r="385" spans="10:10">
      <c r="J385" s="110"/>
    </row>
    <row r="386" spans="10:10">
      <c r="J386" s="110"/>
    </row>
    <row r="387" spans="10:10">
      <c r="J387" s="110"/>
    </row>
    <row r="388" spans="10:10">
      <c r="J388" s="110"/>
    </row>
    <row r="389" spans="10:10">
      <c r="J389" s="110"/>
    </row>
    <row r="390" spans="10:10">
      <c r="J390" s="110"/>
    </row>
    <row r="391" spans="10:10">
      <c r="J391" s="110"/>
    </row>
    <row r="392" spans="10:10">
      <c r="J392" s="110"/>
    </row>
    <row r="393" spans="10:10">
      <c r="J393" s="110"/>
    </row>
    <row r="394" spans="10:10">
      <c r="J394" s="110"/>
    </row>
    <row r="395" spans="10:10">
      <c r="J395" s="110"/>
    </row>
    <row r="396" spans="10:10">
      <c r="J396" s="110"/>
    </row>
    <row r="397" spans="10:10">
      <c r="J397" s="110"/>
    </row>
    <row r="398" spans="10:10">
      <c r="J398" s="110"/>
    </row>
    <row r="399" spans="10:10">
      <c r="J399" s="110"/>
    </row>
    <row r="400" spans="10:10">
      <c r="J400" s="110"/>
    </row>
    <row r="401" spans="10:10">
      <c r="J401" s="110"/>
    </row>
    <row r="402" spans="10:10">
      <c r="J402" s="110"/>
    </row>
    <row r="403" spans="10:10">
      <c r="J403" s="110"/>
    </row>
    <row r="404" spans="10:10">
      <c r="J404" s="110"/>
    </row>
    <row r="405" spans="10:10">
      <c r="J405" s="110"/>
    </row>
    <row r="406" spans="10:10">
      <c r="J406" s="110"/>
    </row>
    <row r="407" spans="10:10">
      <c r="J407" s="110"/>
    </row>
    <row r="408" spans="10:10">
      <c r="J408" s="110"/>
    </row>
    <row r="409" spans="10:10">
      <c r="J409" s="110"/>
    </row>
    <row r="410" spans="10:10">
      <c r="J410" s="110"/>
    </row>
    <row r="411" spans="10:10">
      <c r="J411" s="110"/>
    </row>
    <row r="412" spans="10:10">
      <c r="J412" s="110"/>
    </row>
    <row r="413" spans="10:10">
      <c r="J413" s="110"/>
    </row>
    <row r="414" spans="10:10">
      <c r="J414" s="110"/>
    </row>
    <row r="415" spans="10:10">
      <c r="J415" s="110"/>
    </row>
    <row r="416" spans="10:10">
      <c r="J416" s="110"/>
    </row>
    <row r="417" spans="10:10">
      <c r="J417" s="110"/>
    </row>
    <row r="418" spans="10:10">
      <c r="J418" s="110"/>
    </row>
    <row r="419" spans="10:10">
      <c r="J419" s="110"/>
    </row>
    <row r="420" spans="10:10">
      <c r="J420" s="110"/>
    </row>
    <row r="421" spans="10:10">
      <c r="J421" s="110"/>
    </row>
    <row r="422" spans="10:10">
      <c r="J422" s="110"/>
    </row>
    <row r="423" spans="10:10">
      <c r="J423" s="110"/>
    </row>
    <row r="424" spans="10:10">
      <c r="J424" s="110"/>
    </row>
    <row r="425" spans="10:10">
      <c r="J425" s="110"/>
    </row>
    <row r="426" spans="10:10">
      <c r="J426" s="110"/>
    </row>
    <row r="427" spans="10:10">
      <c r="J427" s="110"/>
    </row>
    <row r="428" spans="10:10">
      <c r="J428" s="110"/>
    </row>
    <row r="429" spans="10:10">
      <c r="J429" s="110"/>
    </row>
    <row r="430" spans="10:10">
      <c r="J430" s="110"/>
    </row>
    <row r="431" spans="10:10">
      <c r="J431" s="110"/>
    </row>
    <row r="432" spans="10:10">
      <c r="J432" s="110"/>
    </row>
    <row r="433" spans="10:10">
      <c r="J433" s="110"/>
    </row>
    <row r="434" spans="10:10">
      <c r="J434" s="110"/>
    </row>
    <row r="435" spans="10:10">
      <c r="J435" s="110"/>
    </row>
    <row r="436" spans="10:10">
      <c r="J436" s="110"/>
    </row>
    <row r="437" spans="10:10">
      <c r="J437" s="110"/>
    </row>
    <row r="438" spans="10:10">
      <c r="J438" s="110"/>
    </row>
    <row r="439" spans="10:10">
      <c r="J439" s="110"/>
    </row>
    <row r="440" spans="10:10">
      <c r="J440" s="110"/>
    </row>
    <row r="441" spans="10:10">
      <c r="J441" s="110"/>
    </row>
    <row r="442" spans="10:10">
      <c r="J442" s="110"/>
    </row>
    <row r="443" spans="10:10">
      <c r="J443" s="110"/>
    </row>
    <row r="444" spans="10:10">
      <c r="J444" s="110"/>
    </row>
    <row r="445" spans="10:10">
      <c r="J445" s="110"/>
    </row>
    <row r="446" spans="10:10">
      <c r="J446" s="110"/>
    </row>
    <row r="447" spans="10:10">
      <c r="J447" s="110"/>
    </row>
    <row r="448" spans="10:10">
      <c r="J448" s="110"/>
    </row>
    <row r="449" spans="10:10">
      <c r="J449" s="110"/>
    </row>
    <row r="450" spans="10:10">
      <c r="J450" s="110"/>
    </row>
    <row r="451" spans="10:10">
      <c r="J451" s="110"/>
    </row>
    <row r="452" spans="10:10">
      <c r="J452" s="110"/>
    </row>
    <row r="453" spans="10:10">
      <c r="J453" s="110"/>
    </row>
    <row r="454" spans="10:10">
      <c r="J454" s="110"/>
    </row>
    <row r="455" spans="10:10">
      <c r="J455" s="110"/>
    </row>
    <row r="456" spans="10:10">
      <c r="J456" s="110"/>
    </row>
    <row r="457" spans="10:10">
      <c r="J457" s="110"/>
    </row>
    <row r="458" spans="10:10">
      <c r="J458" s="110"/>
    </row>
    <row r="459" spans="10:10">
      <c r="J459" s="110"/>
    </row>
    <row r="460" spans="10:10">
      <c r="J460" s="110"/>
    </row>
    <row r="461" spans="10:10">
      <c r="J461" s="110"/>
    </row>
    <row r="462" spans="10:10">
      <c r="J462" s="110"/>
    </row>
    <row r="463" spans="10:10">
      <c r="J463" s="110"/>
    </row>
    <row r="464" spans="10:10">
      <c r="J464" s="110"/>
    </row>
    <row r="465" spans="10:10">
      <c r="J465" s="110"/>
    </row>
    <row r="466" spans="10:10">
      <c r="J466" s="110"/>
    </row>
    <row r="467" spans="10:10">
      <c r="J467" s="110"/>
    </row>
    <row r="468" spans="10:10">
      <c r="J468" s="110"/>
    </row>
    <row r="469" spans="10:10">
      <c r="J469" s="110"/>
    </row>
    <row r="470" spans="10:10">
      <c r="J470" s="110"/>
    </row>
    <row r="471" spans="10:10">
      <c r="J471" s="110"/>
    </row>
    <row r="472" spans="10:10">
      <c r="J472" s="110"/>
    </row>
    <row r="473" spans="10:10">
      <c r="J473" s="110"/>
    </row>
    <row r="474" spans="10:10">
      <c r="J474" s="110"/>
    </row>
    <row r="475" spans="10:10">
      <c r="J475" s="110"/>
    </row>
    <row r="476" spans="10:10">
      <c r="J476" s="110"/>
    </row>
    <row r="477" spans="10:10">
      <c r="J477" s="110"/>
    </row>
    <row r="478" spans="10:10">
      <c r="J478" s="110"/>
    </row>
    <row r="479" spans="10:10">
      <c r="J479" s="110"/>
    </row>
    <row r="480" spans="10:10">
      <c r="J480" s="110"/>
    </row>
    <row r="481" spans="10:10">
      <c r="J481" s="110"/>
    </row>
    <row r="482" spans="10:10">
      <c r="J482" s="110"/>
    </row>
    <row r="483" spans="10:10">
      <c r="J483" s="110"/>
    </row>
    <row r="484" spans="10:10">
      <c r="J484" s="110"/>
    </row>
    <row r="485" spans="10:10">
      <c r="J485" s="110"/>
    </row>
    <row r="486" spans="10:10">
      <c r="J486" s="110"/>
    </row>
    <row r="487" spans="10:10">
      <c r="J487" s="110"/>
    </row>
    <row r="488" spans="10:10">
      <c r="J488" s="110"/>
    </row>
    <row r="489" spans="10:10">
      <c r="J489" s="110"/>
    </row>
    <row r="490" spans="10:10">
      <c r="J490" s="110"/>
    </row>
    <row r="491" spans="10:10">
      <c r="J491" s="110"/>
    </row>
    <row r="492" spans="10:10">
      <c r="J492" s="110"/>
    </row>
    <row r="493" spans="10:10">
      <c r="J493" s="110"/>
    </row>
    <row r="494" spans="10:10">
      <c r="J494" s="110"/>
    </row>
    <row r="495" spans="10:10">
      <c r="J495" s="110"/>
    </row>
    <row r="496" spans="10:10">
      <c r="J496" s="110"/>
    </row>
    <row r="497" spans="10:10">
      <c r="J497" s="110"/>
    </row>
    <row r="498" spans="10:10">
      <c r="J498" s="110"/>
    </row>
    <row r="499" spans="10:10">
      <c r="J499" s="110"/>
    </row>
    <row r="500" spans="10:10">
      <c r="J500" s="110"/>
    </row>
    <row r="501" spans="10:10">
      <c r="J501" s="110"/>
    </row>
    <row r="502" spans="10:10">
      <c r="J502" s="110"/>
    </row>
    <row r="503" spans="10:10">
      <c r="J503" s="110"/>
    </row>
    <row r="504" spans="10:10">
      <c r="J504" s="110"/>
    </row>
    <row r="505" spans="10:10">
      <c r="J505" s="110"/>
    </row>
    <row r="506" spans="10:10">
      <c r="J506" s="110"/>
    </row>
    <row r="507" spans="10:10">
      <c r="J507" s="110"/>
    </row>
    <row r="508" spans="10:10">
      <c r="J508" s="110"/>
    </row>
    <row r="509" spans="10:10">
      <c r="J509" s="110"/>
    </row>
    <row r="510" spans="10:10">
      <c r="J510" s="110"/>
    </row>
    <row r="511" spans="10:10">
      <c r="J511" s="110"/>
    </row>
    <row r="512" spans="10:10">
      <c r="J512" s="110"/>
    </row>
    <row r="513" spans="10:10">
      <c r="J513" s="110"/>
    </row>
    <row r="514" spans="10:10">
      <c r="J514" s="110"/>
    </row>
    <row r="515" spans="10:10">
      <c r="J515" s="110"/>
    </row>
    <row r="516" spans="10:10">
      <c r="J516" s="110"/>
    </row>
    <row r="517" spans="10:10">
      <c r="J517" s="110"/>
    </row>
    <row r="518" spans="10:10">
      <c r="J518" s="110"/>
    </row>
    <row r="519" spans="10:10">
      <c r="J519" s="110"/>
    </row>
    <row r="520" spans="10:10">
      <c r="J520" s="110"/>
    </row>
    <row r="521" spans="10:10">
      <c r="J521" s="110"/>
    </row>
    <row r="522" spans="10:10">
      <c r="J522" s="110"/>
    </row>
    <row r="523" spans="10:10">
      <c r="J523" s="110"/>
    </row>
    <row r="524" spans="10:10">
      <c r="J524" s="110"/>
    </row>
    <row r="525" spans="10:10">
      <c r="J525" s="110"/>
    </row>
    <row r="526" spans="10:10">
      <c r="J526" s="110"/>
    </row>
    <row r="527" spans="10:10">
      <c r="J527" s="110"/>
    </row>
    <row r="528" spans="10:10">
      <c r="J528" s="110"/>
    </row>
    <row r="529" spans="10:10">
      <c r="J529" s="110"/>
    </row>
    <row r="530" spans="10:10">
      <c r="J530" s="110"/>
    </row>
    <row r="531" spans="10:10">
      <c r="J531" s="110"/>
    </row>
    <row r="532" spans="10:10">
      <c r="J532" s="110"/>
    </row>
    <row r="533" spans="10:10">
      <c r="J533" s="110"/>
    </row>
    <row r="534" spans="10:10">
      <c r="J534" s="110"/>
    </row>
    <row r="535" spans="10:10">
      <c r="J535" s="110"/>
    </row>
    <row r="536" spans="10:10">
      <c r="J536" s="110"/>
    </row>
    <row r="537" spans="10:10">
      <c r="J537" s="110"/>
    </row>
    <row r="538" spans="10:10">
      <c r="J538" s="110"/>
    </row>
    <row r="539" spans="10:10">
      <c r="J539" s="110"/>
    </row>
    <row r="540" spans="10:10">
      <c r="J540" s="110"/>
    </row>
    <row r="541" spans="10:10">
      <c r="J541" s="110"/>
    </row>
    <row r="542" spans="10:10">
      <c r="J542" s="110"/>
    </row>
    <row r="543" spans="10:10">
      <c r="J543" s="110"/>
    </row>
    <row r="544" spans="10:10">
      <c r="J544" s="110"/>
    </row>
    <row r="545" spans="10:10">
      <c r="J545" s="110"/>
    </row>
    <row r="546" spans="10:10">
      <c r="J546" s="110"/>
    </row>
    <row r="547" spans="10:10">
      <c r="J547" s="110"/>
    </row>
    <row r="548" spans="10:10">
      <c r="J548" s="110"/>
    </row>
    <row r="549" spans="10:10">
      <c r="J549" s="110"/>
    </row>
    <row r="550" spans="10:10">
      <c r="J550" s="110"/>
    </row>
    <row r="551" spans="10:10">
      <c r="J551" s="110"/>
    </row>
    <row r="552" spans="10:10">
      <c r="J552" s="110"/>
    </row>
    <row r="553" spans="10:10">
      <c r="J553" s="110"/>
    </row>
    <row r="554" spans="10:10">
      <c r="J554" s="110"/>
    </row>
    <row r="555" spans="10:10">
      <c r="J555" s="110"/>
    </row>
    <row r="556" spans="10:10">
      <c r="J556" s="110"/>
    </row>
    <row r="557" spans="10:10">
      <c r="J557" s="110"/>
    </row>
    <row r="558" spans="10:10">
      <c r="J558" s="110"/>
    </row>
    <row r="559" spans="10:10">
      <c r="J559" s="110"/>
    </row>
    <row r="560" spans="10:10">
      <c r="J560" s="110"/>
    </row>
    <row r="561" spans="10:10">
      <c r="J561" s="110"/>
    </row>
    <row r="562" spans="10:10">
      <c r="J562" s="110"/>
    </row>
    <row r="563" spans="10:10">
      <c r="J563" s="110"/>
    </row>
    <row r="564" spans="10:10">
      <c r="J564" s="110"/>
    </row>
    <row r="565" spans="10:10">
      <c r="J565" s="110"/>
    </row>
    <row r="566" spans="10:10">
      <c r="J566" s="110"/>
    </row>
    <row r="567" spans="10:10">
      <c r="J567" s="110"/>
    </row>
    <row r="568" spans="10:10">
      <c r="J568" s="110"/>
    </row>
    <row r="569" spans="10:10">
      <c r="J569" s="110"/>
    </row>
    <row r="570" spans="10:10">
      <c r="J570" s="110"/>
    </row>
    <row r="571" spans="10:10">
      <c r="J571" s="110"/>
    </row>
    <row r="572" spans="10:10">
      <c r="J572" s="110"/>
    </row>
    <row r="573" spans="10:10">
      <c r="J573" s="110"/>
    </row>
    <row r="574" spans="10:10">
      <c r="J574" s="110"/>
    </row>
    <row r="575" spans="10:10">
      <c r="J575" s="110"/>
    </row>
    <row r="576" spans="10:10">
      <c r="J576" s="110"/>
    </row>
    <row r="577" spans="10:10">
      <c r="J577" s="110"/>
    </row>
    <row r="578" spans="10:10">
      <c r="J578" s="110"/>
    </row>
    <row r="579" spans="10:10">
      <c r="J579" s="110"/>
    </row>
    <row r="580" spans="10:10">
      <c r="J580" s="110"/>
    </row>
    <row r="581" spans="10:10">
      <c r="J581" s="110"/>
    </row>
    <row r="582" spans="10:10">
      <c r="J582" s="110"/>
    </row>
    <row r="583" spans="10:10">
      <c r="J583" s="110"/>
    </row>
    <row r="584" spans="10:10">
      <c r="J584" s="110"/>
    </row>
    <row r="585" spans="10:10">
      <c r="J585" s="110"/>
    </row>
    <row r="586" spans="10:10">
      <c r="J586" s="110"/>
    </row>
    <row r="587" spans="10:10">
      <c r="J587" s="110"/>
    </row>
    <row r="588" spans="10:10">
      <c r="J588" s="110"/>
    </row>
    <row r="589" spans="10:10">
      <c r="J589" s="110"/>
    </row>
    <row r="590" spans="10:10">
      <c r="J590" s="110"/>
    </row>
    <row r="591" spans="10:10">
      <c r="J591" s="110"/>
    </row>
    <row r="592" spans="10:10">
      <c r="J592" s="110"/>
    </row>
    <row r="593" spans="10:10">
      <c r="J593" s="110"/>
    </row>
    <row r="594" spans="10:10">
      <c r="J594" s="110"/>
    </row>
    <row r="595" spans="10:10">
      <c r="J595" s="110"/>
    </row>
    <row r="596" spans="10:10">
      <c r="J596" s="110"/>
    </row>
    <row r="597" spans="10:10">
      <c r="J597" s="110"/>
    </row>
    <row r="598" spans="10:10">
      <c r="J598" s="110"/>
    </row>
    <row r="599" spans="10:10">
      <c r="J599" s="110"/>
    </row>
    <row r="600" spans="10:10">
      <c r="J600" s="110"/>
    </row>
    <row r="601" spans="10:10">
      <c r="J601" s="110"/>
    </row>
    <row r="602" spans="10:10">
      <c r="J602" s="110"/>
    </row>
    <row r="603" spans="10:10">
      <c r="J603" s="110"/>
    </row>
    <row r="604" spans="10:10">
      <c r="J604" s="110"/>
    </row>
    <row r="605" spans="10:10">
      <c r="J605" s="110"/>
    </row>
    <row r="606" spans="10:10">
      <c r="J606" s="110"/>
    </row>
    <row r="607" spans="10:10">
      <c r="J607" s="110"/>
    </row>
    <row r="608" spans="10:10">
      <c r="J608" s="110"/>
    </row>
    <row r="609" spans="10:10">
      <c r="J609" s="110"/>
    </row>
    <row r="610" spans="10:10">
      <c r="J610" s="110"/>
    </row>
    <row r="611" spans="10:10">
      <c r="J611" s="110"/>
    </row>
    <row r="612" spans="10:10">
      <c r="J612" s="110"/>
    </row>
    <row r="613" spans="10:10">
      <c r="J613" s="110"/>
    </row>
    <row r="614" spans="10:10">
      <c r="J614" s="110"/>
    </row>
    <row r="615" spans="10:10">
      <c r="J615" s="110"/>
    </row>
    <row r="616" spans="10:10">
      <c r="J616" s="110"/>
    </row>
    <row r="617" spans="10:10">
      <c r="J617" s="110"/>
    </row>
    <row r="618" spans="10:10">
      <c r="J618" s="110"/>
    </row>
    <row r="619" spans="10:10">
      <c r="J619" s="110"/>
    </row>
    <row r="620" spans="10:10">
      <c r="J620" s="110"/>
    </row>
    <row r="621" spans="10:10">
      <c r="J621" s="110"/>
    </row>
    <row r="622" spans="10:10">
      <c r="J622" s="110"/>
    </row>
    <row r="623" spans="10:10">
      <c r="J623" s="110"/>
    </row>
    <row r="624" spans="10:10">
      <c r="J624" s="110"/>
    </row>
    <row r="625" spans="10:10">
      <c r="J625" s="110"/>
    </row>
    <row r="626" spans="10:10">
      <c r="J626" s="110"/>
    </row>
    <row r="627" spans="10:10">
      <c r="J627" s="110"/>
    </row>
    <row r="628" spans="10:10">
      <c r="J628" s="110"/>
    </row>
    <row r="629" spans="10:10">
      <c r="J629" s="110"/>
    </row>
    <row r="630" spans="10:10">
      <c r="J630" s="110"/>
    </row>
    <row r="631" spans="10:10">
      <c r="J631" s="110"/>
    </row>
    <row r="632" spans="10:10">
      <c r="J632" s="110"/>
    </row>
    <row r="633" spans="10:10">
      <c r="J633" s="110"/>
    </row>
    <row r="634" spans="10:10">
      <c r="J634" s="110"/>
    </row>
    <row r="635" spans="10:10">
      <c r="J635" s="110"/>
    </row>
    <row r="636" spans="10:10">
      <c r="J636" s="110"/>
    </row>
    <row r="637" spans="10:10">
      <c r="J637" s="110"/>
    </row>
    <row r="638" spans="10:10">
      <c r="J638" s="110"/>
    </row>
    <row r="639" spans="10:10">
      <c r="J639" s="110"/>
    </row>
    <row r="640" spans="10:10">
      <c r="J640" s="110"/>
    </row>
    <row r="641" spans="10:10">
      <c r="J641" s="110"/>
    </row>
    <row r="642" spans="10:10">
      <c r="J642" s="110"/>
    </row>
    <row r="643" spans="10:10">
      <c r="J643" s="110"/>
    </row>
    <row r="644" spans="10:10">
      <c r="J644" s="110"/>
    </row>
    <row r="645" spans="10:10">
      <c r="J645" s="110"/>
    </row>
    <row r="646" spans="10:10">
      <c r="J646" s="110"/>
    </row>
    <row r="647" spans="10:10">
      <c r="J647" s="110"/>
    </row>
    <row r="648" spans="10:10">
      <c r="J648" s="110"/>
    </row>
    <row r="649" spans="10:10">
      <c r="J649" s="110"/>
    </row>
    <row r="650" spans="10:10">
      <c r="J650" s="110"/>
    </row>
    <row r="651" spans="10:10">
      <c r="J651" s="110"/>
    </row>
    <row r="652" spans="10:10">
      <c r="J652" s="110"/>
    </row>
    <row r="653" spans="10:10">
      <c r="J653" s="110"/>
    </row>
    <row r="654" spans="10:10">
      <c r="J654" s="110"/>
    </row>
    <row r="655" spans="10:10">
      <c r="J655" s="110"/>
    </row>
    <row r="656" spans="10:10">
      <c r="J656" s="110"/>
    </row>
    <row r="657" spans="10:10">
      <c r="J657" s="110"/>
    </row>
    <row r="658" spans="10:10">
      <c r="J658" s="110"/>
    </row>
    <row r="659" spans="10:10">
      <c r="J659" s="110"/>
    </row>
    <row r="660" spans="10:10">
      <c r="J660" s="110"/>
    </row>
    <row r="661" spans="10:10">
      <c r="J661" s="110"/>
    </row>
    <row r="662" spans="10:10">
      <c r="J662" s="110"/>
    </row>
    <row r="663" spans="10:10">
      <c r="J663" s="110"/>
    </row>
    <row r="664" spans="10:10">
      <c r="J664" s="110"/>
    </row>
    <row r="665" spans="10:10">
      <c r="J665" s="110"/>
    </row>
    <row r="666" spans="10:10">
      <c r="J666" s="110"/>
    </row>
    <row r="667" spans="10:10">
      <c r="J667" s="110"/>
    </row>
    <row r="668" spans="10:10">
      <c r="J668" s="110"/>
    </row>
    <row r="669" spans="10:10">
      <c r="J669" s="110"/>
    </row>
    <row r="670" spans="10:10">
      <c r="J670" s="110"/>
    </row>
    <row r="671" spans="10:10">
      <c r="J671" s="110"/>
    </row>
    <row r="672" spans="10:10">
      <c r="J672" s="110"/>
    </row>
    <row r="673" spans="10:10">
      <c r="J673" s="110"/>
    </row>
    <row r="674" spans="10:10">
      <c r="J674" s="110"/>
    </row>
    <row r="675" spans="10:10">
      <c r="J675" s="110"/>
    </row>
    <row r="676" spans="10:10">
      <c r="J676" s="110"/>
    </row>
    <row r="677" spans="10:10">
      <c r="J677" s="110"/>
    </row>
    <row r="678" spans="10:10">
      <c r="J678" s="110"/>
    </row>
    <row r="679" spans="10:10">
      <c r="J679" s="110"/>
    </row>
    <row r="680" spans="10:10">
      <c r="J680" s="110"/>
    </row>
    <row r="681" spans="10:10">
      <c r="J681" s="110"/>
    </row>
    <row r="682" spans="10:10">
      <c r="J682" s="110"/>
    </row>
    <row r="683" spans="10:10">
      <c r="J683" s="110"/>
    </row>
    <row r="684" spans="10:10">
      <c r="J684" s="110"/>
    </row>
    <row r="685" spans="10:10">
      <c r="J685" s="110"/>
    </row>
    <row r="686" spans="10:10">
      <c r="J686" s="110"/>
    </row>
    <row r="687" spans="10:10">
      <c r="J687" s="110"/>
    </row>
    <row r="688" spans="10:10">
      <c r="J688" s="110"/>
    </row>
    <row r="689" spans="10:10">
      <c r="J689" s="110"/>
    </row>
    <row r="690" spans="10:10">
      <c r="J690" s="110"/>
    </row>
    <row r="691" spans="10:10">
      <c r="J691" s="110"/>
    </row>
    <row r="692" spans="10:10">
      <c r="J692" s="110"/>
    </row>
    <row r="693" spans="10:10">
      <c r="J693" s="110"/>
    </row>
    <row r="694" spans="10:10">
      <c r="J694" s="110"/>
    </row>
    <row r="695" spans="10:10">
      <c r="J695" s="110"/>
    </row>
    <row r="696" spans="10:10">
      <c r="J696" s="110"/>
    </row>
    <row r="697" spans="10:10">
      <c r="J697" s="110"/>
    </row>
    <row r="698" spans="10:10">
      <c r="J698" s="110"/>
    </row>
    <row r="699" spans="10:10">
      <c r="J699" s="110"/>
    </row>
    <row r="700" spans="10:10">
      <c r="J700" s="110"/>
    </row>
    <row r="701" spans="10:10">
      <c r="J701" s="110"/>
    </row>
    <row r="702" spans="10:10">
      <c r="J702" s="110"/>
    </row>
    <row r="703" spans="10:10">
      <c r="J703" s="110"/>
    </row>
    <row r="704" spans="10:10">
      <c r="J704" s="110"/>
    </row>
    <row r="705" spans="10:10">
      <c r="J705" s="110"/>
    </row>
    <row r="706" spans="10:10">
      <c r="J706" s="110"/>
    </row>
    <row r="707" spans="10:10">
      <c r="J707" s="110"/>
    </row>
    <row r="708" spans="10:10">
      <c r="J708" s="110"/>
    </row>
    <row r="709" spans="10:10">
      <c r="J709" s="110"/>
    </row>
    <row r="710" spans="10:10">
      <c r="J710" s="110"/>
    </row>
    <row r="711" spans="10:10">
      <c r="J711" s="110"/>
    </row>
    <row r="712" spans="10:10">
      <c r="J712" s="110"/>
    </row>
    <row r="713" spans="10:10">
      <c r="J713" s="110"/>
    </row>
    <row r="714" spans="10:10">
      <c r="J714" s="110"/>
    </row>
    <row r="715" spans="10:10">
      <c r="J715" s="110"/>
    </row>
    <row r="716" spans="10:10">
      <c r="J716" s="110"/>
    </row>
    <row r="717" spans="10:10">
      <c r="J717" s="110"/>
    </row>
    <row r="718" spans="10:10">
      <c r="J718" s="110"/>
    </row>
    <row r="719" spans="10:10">
      <c r="J719" s="110"/>
    </row>
    <row r="720" spans="10:10">
      <c r="J720" s="110"/>
    </row>
    <row r="721" spans="10:10">
      <c r="J721" s="110"/>
    </row>
    <row r="722" spans="10:10">
      <c r="J722" s="110"/>
    </row>
    <row r="723" spans="10:10">
      <c r="J723" s="110"/>
    </row>
    <row r="724" spans="10:10">
      <c r="J724" s="110"/>
    </row>
    <row r="725" spans="10:10">
      <c r="J725" s="110"/>
    </row>
    <row r="726" spans="10:10">
      <c r="J726" s="110"/>
    </row>
    <row r="727" spans="10:10">
      <c r="J727" s="110"/>
    </row>
    <row r="728" spans="10:10">
      <c r="J728" s="110"/>
    </row>
    <row r="729" spans="10:10">
      <c r="J729" s="110"/>
    </row>
    <row r="730" spans="10:10">
      <c r="J730" s="110"/>
    </row>
    <row r="731" spans="10:10">
      <c r="J731" s="110"/>
    </row>
    <row r="732" spans="10:10">
      <c r="J732" s="110"/>
    </row>
    <row r="733" spans="10:10">
      <c r="J733" s="110"/>
    </row>
    <row r="734" spans="10:10">
      <c r="J734" s="110"/>
    </row>
    <row r="735" spans="10:10">
      <c r="J735" s="110"/>
    </row>
    <row r="736" spans="10:10">
      <c r="J736" s="110"/>
    </row>
    <row r="737" spans="10:10">
      <c r="J737" s="110"/>
    </row>
    <row r="738" spans="10:10">
      <c r="J738" s="110"/>
    </row>
    <row r="739" spans="10:10">
      <c r="J739" s="110"/>
    </row>
    <row r="740" spans="10:10">
      <c r="J740" s="110"/>
    </row>
    <row r="741" spans="10:10">
      <c r="J741" s="110"/>
    </row>
    <row r="742" spans="10:10">
      <c r="J742" s="110"/>
    </row>
    <row r="743" spans="10:10">
      <c r="J743" s="110"/>
    </row>
    <row r="744" spans="10:10">
      <c r="J744" s="110"/>
    </row>
    <row r="745" spans="10:10">
      <c r="J745" s="110"/>
    </row>
    <row r="746" spans="10:10">
      <c r="J746" s="110"/>
    </row>
    <row r="747" spans="10:10">
      <c r="J747" s="110"/>
    </row>
    <row r="748" spans="10:10">
      <c r="J748" s="110"/>
    </row>
    <row r="749" spans="10:10">
      <c r="J749" s="110"/>
    </row>
    <row r="750" spans="10:10">
      <c r="J750" s="110"/>
    </row>
    <row r="751" spans="10:10">
      <c r="J751" s="110"/>
    </row>
    <row r="752" spans="10:10">
      <c r="J752" s="110"/>
    </row>
    <row r="753" spans="10:10">
      <c r="J753" s="110"/>
    </row>
    <row r="754" spans="10:10">
      <c r="J754" s="110"/>
    </row>
    <row r="755" spans="10:10">
      <c r="J755" s="110"/>
    </row>
    <row r="756" spans="10:10">
      <c r="J756" s="110"/>
    </row>
    <row r="757" spans="10:10">
      <c r="J757" s="110"/>
    </row>
    <row r="758" spans="10:10">
      <c r="J758" s="110"/>
    </row>
    <row r="759" spans="10:10">
      <c r="J759" s="110"/>
    </row>
    <row r="760" spans="10:10">
      <c r="J760" s="110"/>
    </row>
    <row r="761" spans="10:10">
      <c r="J761" s="110"/>
    </row>
    <row r="762" spans="10:10">
      <c r="J762" s="110"/>
    </row>
    <row r="763" spans="10:10">
      <c r="J763" s="110"/>
    </row>
    <row r="764" spans="10:10">
      <c r="J764" s="110"/>
    </row>
    <row r="765" spans="10:10">
      <c r="J765" s="110"/>
    </row>
    <row r="766" spans="10:10">
      <c r="J766" s="110"/>
    </row>
    <row r="767" spans="10:10">
      <c r="J767" s="110"/>
    </row>
    <row r="768" spans="10:10">
      <c r="J768" s="110"/>
    </row>
    <row r="769" spans="10:10">
      <c r="J769" s="110"/>
    </row>
    <row r="770" spans="10:10">
      <c r="J770" s="110"/>
    </row>
    <row r="771" spans="10:10">
      <c r="J771" s="110"/>
    </row>
    <row r="772" spans="10:10">
      <c r="J772" s="110"/>
    </row>
    <row r="773" spans="10:10">
      <c r="J773" s="110"/>
    </row>
    <row r="774" spans="10:10">
      <c r="J774" s="110"/>
    </row>
    <row r="775" spans="10:10">
      <c r="J775" s="110"/>
    </row>
    <row r="776" spans="10:10">
      <c r="J776" s="110"/>
    </row>
    <row r="777" spans="10:10">
      <c r="J777" s="110"/>
    </row>
    <row r="778" spans="10:10">
      <c r="J778" s="110"/>
    </row>
    <row r="779" spans="10:10">
      <c r="J779" s="110"/>
    </row>
    <row r="780" spans="10:10">
      <c r="J780" s="110"/>
    </row>
    <row r="781" spans="10:10">
      <c r="J781" s="110"/>
    </row>
    <row r="782" spans="10:10">
      <c r="J782" s="110"/>
    </row>
    <row r="783" spans="10:10">
      <c r="J783" s="110"/>
    </row>
    <row r="784" spans="10:10">
      <c r="J784" s="110"/>
    </row>
    <row r="785" spans="10:10">
      <c r="J785" s="110"/>
    </row>
    <row r="786" spans="10:10">
      <c r="J786" s="110"/>
    </row>
    <row r="787" spans="10:10">
      <c r="J787" s="110"/>
    </row>
    <row r="788" spans="10:10">
      <c r="J788" s="110"/>
    </row>
    <row r="789" spans="10:10">
      <c r="J789" s="110"/>
    </row>
    <row r="790" spans="10:10">
      <c r="J790" s="110"/>
    </row>
    <row r="791" spans="10:10">
      <c r="J791" s="110"/>
    </row>
    <row r="792" spans="10:10">
      <c r="J792" s="110"/>
    </row>
    <row r="793" spans="10:10">
      <c r="J793" s="110"/>
    </row>
    <row r="794" spans="10:10">
      <c r="J794" s="110"/>
    </row>
    <row r="795" spans="10:10">
      <c r="J795" s="110"/>
    </row>
    <row r="796" spans="10:10">
      <c r="J796" s="110"/>
    </row>
    <row r="797" spans="10:10">
      <c r="J797" s="110"/>
    </row>
    <row r="798" spans="10:10">
      <c r="J798" s="110"/>
    </row>
    <row r="799" spans="10:10">
      <c r="J799" s="110"/>
    </row>
    <row r="800" spans="10:10">
      <c r="J800" s="110"/>
    </row>
    <row r="801" spans="10:10">
      <c r="J801" s="110"/>
    </row>
    <row r="802" spans="10:10">
      <c r="J802" s="110"/>
    </row>
    <row r="803" spans="10:10">
      <c r="J803" s="110"/>
    </row>
    <row r="804" spans="10:10">
      <c r="J804" s="110"/>
    </row>
    <row r="805" spans="10:10">
      <c r="J805" s="110"/>
    </row>
    <row r="806" spans="10:10">
      <c r="J806" s="110"/>
    </row>
    <row r="807" spans="10:10">
      <c r="J807" s="110"/>
    </row>
    <row r="808" spans="10:10">
      <c r="J808" s="110"/>
    </row>
    <row r="809" spans="10:10">
      <c r="J809" s="110"/>
    </row>
    <row r="810" spans="10:10">
      <c r="J810" s="110"/>
    </row>
    <row r="811" spans="10:10">
      <c r="J811" s="110"/>
    </row>
    <row r="812" spans="10:10">
      <c r="J812" s="110"/>
    </row>
    <row r="813" spans="10:10">
      <c r="J813" s="110"/>
    </row>
    <row r="814" spans="10:10">
      <c r="J814" s="110"/>
    </row>
    <row r="815" spans="10:10">
      <c r="J815" s="110"/>
    </row>
    <row r="816" spans="10:10">
      <c r="J816" s="110"/>
    </row>
    <row r="817" spans="10:10">
      <c r="J817" s="110"/>
    </row>
    <row r="818" spans="10:10">
      <c r="J818" s="110"/>
    </row>
    <row r="819" spans="10:10">
      <c r="J819" s="110"/>
    </row>
    <row r="820" spans="10:10">
      <c r="J820" s="110"/>
    </row>
    <row r="821" spans="10:10">
      <c r="J821" s="110"/>
    </row>
    <row r="822" spans="10:10">
      <c r="J822" s="110"/>
    </row>
    <row r="823" spans="10:10">
      <c r="J823" s="110"/>
    </row>
    <row r="824" spans="10:10">
      <c r="J824" s="110"/>
    </row>
    <row r="825" spans="10:10">
      <c r="J825" s="110"/>
    </row>
    <row r="826" spans="10:10">
      <c r="J826" s="110"/>
    </row>
    <row r="827" spans="10:10">
      <c r="J827" s="110"/>
    </row>
    <row r="828" spans="10:10">
      <c r="J828" s="110"/>
    </row>
    <row r="829" spans="10:10">
      <c r="J829" s="110"/>
    </row>
    <row r="830" spans="10:10">
      <c r="J830" s="110"/>
    </row>
    <row r="831" spans="10:10">
      <c r="J831" s="110"/>
    </row>
    <row r="832" spans="10:10">
      <c r="J832" s="110"/>
    </row>
    <row r="833" spans="10:10">
      <c r="J833" s="110"/>
    </row>
    <row r="834" spans="10:10">
      <c r="J834" s="110"/>
    </row>
    <row r="835" spans="10:10">
      <c r="J835" s="110"/>
    </row>
    <row r="836" spans="10:10">
      <c r="J836" s="110"/>
    </row>
    <row r="837" spans="10:10">
      <c r="J837" s="110"/>
    </row>
    <row r="838" spans="10:10">
      <c r="J838" s="110"/>
    </row>
    <row r="839" spans="10:10">
      <c r="J839" s="110"/>
    </row>
    <row r="840" spans="10:10">
      <c r="J840" s="110"/>
    </row>
    <row r="841" spans="10:10">
      <c r="J841" s="110"/>
    </row>
    <row r="842" spans="10:10">
      <c r="J842" s="110"/>
    </row>
    <row r="843" spans="10:10">
      <c r="J843" s="110"/>
    </row>
    <row r="844" spans="10:10">
      <c r="J844" s="110"/>
    </row>
    <row r="845" spans="10:10">
      <c r="J845" s="110"/>
    </row>
    <row r="846" spans="10:10">
      <c r="J846" s="110"/>
    </row>
    <row r="847" spans="10:10">
      <c r="J847" s="110"/>
    </row>
    <row r="848" spans="10:10">
      <c r="J848" s="110"/>
    </row>
    <row r="849" spans="10:10">
      <c r="J849" s="110"/>
    </row>
    <row r="850" spans="10:10">
      <c r="J850" s="110"/>
    </row>
    <row r="851" spans="10:10">
      <c r="J851" s="110"/>
    </row>
    <row r="852" spans="10:10">
      <c r="J852" s="110"/>
    </row>
    <row r="853" spans="10:10">
      <c r="J853" s="110"/>
    </row>
    <row r="854" spans="10:10">
      <c r="J854" s="110"/>
    </row>
    <row r="855" spans="10:10">
      <c r="J855" s="110"/>
    </row>
    <row r="856" spans="10:10">
      <c r="J856" s="110"/>
    </row>
    <row r="857" spans="10:10">
      <c r="J857" s="110"/>
    </row>
    <row r="858" spans="10:10">
      <c r="J858" s="110"/>
    </row>
    <row r="859" spans="10:10">
      <c r="J859" s="110"/>
    </row>
    <row r="860" spans="10:10">
      <c r="J860" s="110"/>
    </row>
    <row r="861" spans="10:10">
      <c r="J861" s="110"/>
    </row>
    <row r="862" spans="10:10">
      <c r="J862" s="110"/>
    </row>
    <row r="863" spans="10:10">
      <c r="J863" s="110"/>
    </row>
    <row r="864" spans="10:10">
      <c r="J864" s="110"/>
    </row>
    <row r="865" spans="10:10">
      <c r="J865" s="110"/>
    </row>
    <row r="866" spans="10:10">
      <c r="J866" s="110"/>
    </row>
    <row r="867" spans="10:10">
      <c r="J867" s="110"/>
    </row>
    <row r="868" spans="10:10">
      <c r="J868" s="110"/>
    </row>
    <row r="869" spans="10:10">
      <c r="J869" s="110"/>
    </row>
    <row r="870" spans="10:10">
      <c r="J870" s="110"/>
    </row>
    <row r="871" spans="10:10">
      <c r="J871" s="110"/>
    </row>
    <row r="872" spans="10:10">
      <c r="J872" s="110"/>
    </row>
    <row r="873" spans="10:10">
      <c r="J873" s="110"/>
    </row>
    <row r="874" spans="10:10">
      <c r="J874" s="110"/>
    </row>
    <row r="875" spans="10:10">
      <c r="J875" s="110"/>
    </row>
    <row r="876" spans="10:10">
      <c r="J876" s="110"/>
    </row>
    <row r="877" spans="10:10">
      <c r="J877" s="110"/>
    </row>
    <row r="878" spans="10:10">
      <c r="J878" s="110"/>
    </row>
    <row r="879" spans="10:10">
      <c r="J879" s="110"/>
    </row>
    <row r="880" spans="10:10">
      <c r="J880" s="110"/>
    </row>
    <row r="881" spans="10:10">
      <c r="J881" s="110"/>
    </row>
    <row r="882" spans="10:10">
      <c r="J882" s="110"/>
    </row>
    <row r="883" spans="10:10">
      <c r="J883" s="110"/>
    </row>
    <row r="884" spans="10:10">
      <c r="J884" s="110"/>
    </row>
    <row r="885" spans="10:10">
      <c r="J885" s="110"/>
    </row>
    <row r="886" spans="10:10">
      <c r="J886" s="110"/>
    </row>
    <row r="887" spans="10:10">
      <c r="J887" s="110"/>
    </row>
    <row r="888" spans="10:10">
      <c r="J888" s="110"/>
    </row>
    <row r="889" spans="10:10">
      <c r="J889" s="110"/>
    </row>
    <row r="890" spans="10:10">
      <c r="J890" s="110"/>
    </row>
    <row r="891" spans="10:10">
      <c r="J891" s="110"/>
    </row>
    <row r="892" spans="10:10">
      <c r="J892" s="110"/>
    </row>
    <row r="893" spans="10:10">
      <c r="J893" s="110"/>
    </row>
    <row r="894" spans="10:10">
      <c r="J894" s="110"/>
    </row>
    <row r="895" spans="10:10">
      <c r="J895" s="110"/>
    </row>
    <row r="896" spans="10:10">
      <c r="J896" s="110"/>
    </row>
    <row r="897" spans="10:10">
      <c r="J897" s="110"/>
    </row>
    <row r="898" spans="10:10">
      <c r="J898" s="110"/>
    </row>
    <row r="899" spans="10:10">
      <c r="J899" s="110"/>
    </row>
    <row r="900" spans="10:10">
      <c r="J900" s="110"/>
    </row>
    <row r="901" spans="10:10">
      <c r="J901" s="110"/>
    </row>
    <row r="902" spans="10:10">
      <c r="J902" s="110"/>
    </row>
    <row r="903" spans="10:10">
      <c r="J903" s="110"/>
    </row>
    <row r="904" spans="10:10">
      <c r="J904" s="110"/>
    </row>
    <row r="905" spans="10:10">
      <c r="J905" s="110"/>
    </row>
    <row r="906" spans="10:10">
      <c r="J906" s="110"/>
    </row>
    <row r="907" spans="10:10">
      <c r="J907" s="110"/>
    </row>
    <row r="908" spans="10:10">
      <c r="J908" s="110"/>
    </row>
    <row r="909" spans="10:10">
      <c r="J909" s="110"/>
    </row>
    <row r="910" spans="10:10">
      <c r="J910" s="110"/>
    </row>
    <row r="911" spans="10:10">
      <c r="J911" s="110"/>
    </row>
    <row r="912" spans="10:10">
      <c r="J912" s="110"/>
    </row>
    <row r="913" spans="10:10">
      <c r="J913" s="110"/>
    </row>
    <row r="914" spans="10:10">
      <c r="J914" s="110"/>
    </row>
    <row r="915" spans="10:10">
      <c r="J915" s="110"/>
    </row>
    <row r="916" spans="10:10">
      <c r="J916" s="110"/>
    </row>
    <row r="917" spans="10:10">
      <c r="J917" s="110"/>
    </row>
    <row r="918" spans="10:10">
      <c r="J918" s="110"/>
    </row>
    <row r="919" spans="10:10">
      <c r="J919" s="110"/>
    </row>
    <row r="920" spans="10:10">
      <c r="J920" s="110"/>
    </row>
    <row r="921" spans="10:10">
      <c r="J921" s="110"/>
    </row>
    <row r="922" spans="10:10">
      <c r="J922" s="110"/>
    </row>
    <row r="923" spans="10:10">
      <c r="J923" s="110"/>
    </row>
    <row r="924" spans="10:10">
      <c r="J924" s="110"/>
    </row>
    <row r="925" spans="10:10">
      <c r="J925" s="110"/>
    </row>
    <row r="926" spans="10:10">
      <c r="J926" s="110"/>
    </row>
    <row r="927" spans="10:10">
      <c r="J927" s="110"/>
    </row>
    <row r="928" spans="10:10">
      <c r="J928" s="110"/>
    </row>
    <row r="929" spans="10:10">
      <c r="J929" s="110"/>
    </row>
    <row r="930" spans="10:10">
      <c r="J930" s="110"/>
    </row>
    <row r="931" spans="10:10">
      <c r="J931" s="110"/>
    </row>
    <row r="932" spans="10:10">
      <c r="J932" s="110"/>
    </row>
    <row r="933" spans="10:10">
      <c r="J933" s="110"/>
    </row>
    <row r="934" spans="10:10">
      <c r="J934" s="110"/>
    </row>
    <row r="935" spans="10:10">
      <c r="J935" s="110"/>
    </row>
    <row r="936" spans="10:10">
      <c r="J936" s="110"/>
    </row>
    <row r="937" spans="10:10">
      <c r="J937" s="110"/>
    </row>
    <row r="938" spans="10:10">
      <c r="J938" s="110"/>
    </row>
    <row r="939" spans="10:10">
      <c r="J939" s="110"/>
    </row>
    <row r="940" spans="10:10">
      <c r="J940" s="110"/>
    </row>
    <row r="941" spans="10:10">
      <c r="J941" s="110"/>
    </row>
    <row r="942" spans="10:10">
      <c r="J942" s="110"/>
    </row>
    <row r="943" spans="10:10">
      <c r="J943" s="110"/>
    </row>
    <row r="944" spans="10:10">
      <c r="J944" s="110"/>
    </row>
    <row r="945" spans="10:10">
      <c r="J945" s="110"/>
    </row>
    <row r="946" spans="10:10">
      <c r="J946" s="110"/>
    </row>
    <row r="947" spans="10:10">
      <c r="J947" s="110"/>
    </row>
    <row r="948" spans="10:10">
      <c r="J948" s="110"/>
    </row>
    <row r="949" spans="10:10">
      <c r="J949" s="110"/>
    </row>
    <row r="950" spans="10:10">
      <c r="J950" s="110"/>
    </row>
    <row r="951" spans="10:10">
      <c r="J951" s="110"/>
    </row>
    <row r="952" spans="10:10">
      <c r="J952" s="110"/>
    </row>
    <row r="953" spans="10:10">
      <c r="J953" s="110"/>
    </row>
    <row r="954" spans="10:10">
      <c r="J954" s="110"/>
    </row>
    <row r="955" spans="10:10">
      <c r="J955" s="110"/>
    </row>
    <row r="956" spans="10:10">
      <c r="J956" s="110"/>
    </row>
    <row r="957" spans="10:10">
      <c r="J957" s="110"/>
    </row>
    <row r="958" spans="10:10">
      <c r="J958" s="110"/>
    </row>
    <row r="959" spans="10:10">
      <c r="J959" s="110"/>
    </row>
    <row r="960" spans="10:10">
      <c r="J960" s="110"/>
    </row>
    <row r="961" spans="10:10">
      <c r="J961" s="110"/>
    </row>
    <row r="962" spans="10:10">
      <c r="J962" s="110"/>
    </row>
    <row r="963" spans="10:10">
      <c r="J963" s="110"/>
    </row>
    <row r="964" spans="10:10">
      <c r="J964" s="110"/>
    </row>
    <row r="965" spans="10:10">
      <c r="J965" s="110"/>
    </row>
    <row r="966" spans="10:10">
      <c r="J966" s="110"/>
    </row>
    <row r="967" spans="10:10">
      <c r="J967" s="110"/>
    </row>
    <row r="968" spans="10:10">
      <c r="J968" s="110"/>
    </row>
    <row r="969" spans="10:10">
      <c r="J969" s="110"/>
    </row>
    <row r="970" spans="10:10">
      <c r="J970" s="110"/>
    </row>
    <row r="971" spans="10:10">
      <c r="J971" s="110"/>
    </row>
    <row r="972" spans="10:10">
      <c r="J972" s="110"/>
    </row>
    <row r="973" spans="10:10">
      <c r="J973" s="110"/>
    </row>
    <row r="974" spans="10:10">
      <c r="J974" s="110"/>
    </row>
    <row r="975" spans="10:10">
      <c r="J975" s="110"/>
    </row>
    <row r="976" spans="10:10">
      <c r="J976" s="110"/>
    </row>
    <row r="977" spans="10:10">
      <c r="J977" s="110"/>
    </row>
    <row r="978" spans="10:10">
      <c r="J978" s="110"/>
    </row>
    <row r="979" spans="10:10">
      <c r="J979" s="110"/>
    </row>
    <row r="980" spans="10:10">
      <c r="J980" s="110"/>
    </row>
    <row r="981" spans="10:10">
      <c r="J981" s="110"/>
    </row>
    <row r="982" spans="10:10">
      <c r="J982" s="110"/>
    </row>
    <row r="983" spans="10:10">
      <c r="J983" s="110"/>
    </row>
    <row r="984" spans="10:10">
      <c r="J984" s="110"/>
    </row>
    <row r="985" spans="10:10">
      <c r="J985" s="110"/>
    </row>
    <row r="986" spans="10:10">
      <c r="J986" s="110"/>
    </row>
    <row r="987" spans="10:10">
      <c r="J987" s="110"/>
    </row>
    <row r="988" spans="10:10">
      <c r="J988" s="110"/>
    </row>
    <row r="989" spans="10:10">
      <c r="J989" s="110"/>
    </row>
    <row r="990" spans="10:10">
      <c r="J990" s="110"/>
    </row>
    <row r="991" spans="10:10">
      <c r="J991" s="110"/>
    </row>
    <row r="992" spans="10:10">
      <c r="J992" s="110"/>
    </row>
    <row r="993" spans="10:10">
      <c r="J993" s="110"/>
    </row>
    <row r="994" spans="10:10">
      <c r="J994" s="110"/>
    </row>
    <row r="995" spans="10:10">
      <c r="J995" s="110"/>
    </row>
    <row r="996" spans="10:10">
      <c r="J996" s="110"/>
    </row>
    <row r="997" spans="10:10">
      <c r="J997" s="110"/>
    </row>
    <row r="998" spans="10:10">
      <c r="J998" s="110"/>
    </row>
    <row r="999" spans="10:10">
      <c r="J999" s="110"/>
    </row>
    <row r="1000" spans="10:10">
      <c r="J1000" s="110"/>
    </row>
    <row r="1001" spans="10:10">
      <c r="J1001" s="110"/>
    </row>
    <row r="1002" spans="10:10">
      <c r="J1002" s="110"/>
    </row>
    <row r="1003" spans="10:10">
      <c r="J1003" s="110"/>
    </row>
    <row r="1004" spans="10:10">
      <c r="J1004" s="110"/>
    </row>
    <row r="1005" spans="10:10">
      <c r="J1005" s="110"/>
    </row>
    <row r="1006" spans="10:10">
      <c r="J1006" s="110"/>
    </row>
  </sheetData>
  <mergeCells count="7">
    <mergeCell ref="B23:D23"/>
    <mergeCell ref="B26:F26"/>
    <mergeCell ref="A1:O4"/>
    <mergeCell ref="B6:D6"/>
    <mergeCell ref="J6:K6"/>
    <mergeCell ref="B7:D7"/>
    <mergeCell ref="J7:M7"/>
  </mergeCell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008"/>
  <sheetViews>
    <sheetView workbookViewId="0"/>
  </sheetViews>
  <sheetFormatPr defaultColWidth="12.625" defaultRowHeight="15" customHeight="1"/>
  <cols>
    <col min="1" max="1" width="3.625" customWidth="1"/>
    <col min="2" max="2" width="14.5" customWidth="1"/>
    <col min="3" max="3" width="15" customWidth="1"/>
    <col min="4" max="4" width="13" customWidth="1"/>
    <col min="5" max="5" width="10.125" customWidth="1"/>
    <col min="6" max="8" width="12.5" customWidth="1"/>
    <col min="9" max="9" width="11" customWidth="1"/>
    <col min="10" max="10" width="12" customWidth="1"/>
    <col min="11" max="11" width="21.625" customWidth="1"/>
    <col min="12" max="12" width="11" customWidth="1"/>
    <col min="13" max="13" width="12.5" customWidth="1"/>
    <col min="14" max="14" width="10.75" customWidth="1"/>
    <col min="15" max="15" width="13.625" customWidth="1"/>
    <col min="16" max="16" width="13.5" customWidth="1"/>
    <col min="17" max="17" width="13.375" customWidth="1"/>
    <col min="18" max="18" width="10.125" customWidth="1"/>
    <col min="19" max="19" width="9.375" customWidth="1"/>
    <col min="20" max="20" width="9.875" customWidth="1"/>
    <col min="21" max="21" width="13" customWidth="1"/>
    <col min="22" max="22" width="8.875" customWidth="1"/>
    <col min="23" max="23" width="12.5" customWidth="1"/>
    <col min="24" max="25" width="12.375" customWidth="1"/>
    <col min="26" max="30" width="8.625" customWidth="1"/>
  </cols>
  <sheetData>
    <row r="1" spans="1:31" ht="11.25" customHeight="1">
      <c r="N1" s="111"/>
      <c r="O1" s="111"/>
      <c r="T1" s="111"/>
    </row>
    <row r="2" spans="1:31">
      <c r="A2" s="149" t="s">
        <v>253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1"/>
    </row>
    <row r="3" spans="1:31">
      <c r="A3" s="162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63"/>
    </row>
    <row r="4" spans="1:31">
      <c r="A4" s="162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63"/>
    </row>
    <row r="5" spans="1:31">
      <c r="A5" s="162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63"/>
    </row>
    <row r="6" spans="1:31">
      <c r="A6" s="162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63"/>
    </row>
    <row r="7" spans="1:31">
      <c r="A7" s="162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63"/>
    </row>
    <row r="8" spans="1:31">
      <c r="A8" s="164"/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6"/>
    </row>
    <row r="9" spans="1:31">
      <c r="B9" s="112"/>
      <c r="C9" s="112"/>
      <c r="N9" s="111"/>
      <c r="O9" s="111"/>
      <c r="T9" s="111"/>
    </row>
    <row r="10" spans="1:31">
      <c r="B10" s="150" t="s">
        <v>254</v>
      </c>
      <c r="C10" s="170"/>
      <c r="N10" s="111"/>
      <c r="O10" s="111"/>
      <c r="T10" s="111"/>
    </row>
    <row r="11" spans="1:31">
      <c r="B11" s="97" t="s">
        <v>255</v>
      </c>
      <c r="C11" s="182"/>
      <c r="D11" s="183"/>
      <c r="E11" s="184"/>
      <c r="F11" s="102"/>
      <c r="I11" s="151" t="s">
        <v>256</v>
      </c>
      <c r="J11" s="169"/>
      <c r="K11" s="169"/>
      <c r="L11" s="169"/>
      <c r="M11" s="170"/>
      <c r="AC11" s="113"/>
      <c r="AD11" s="113"/>
    </row>
    <row r="12" spans="1:31">
      <c r="B12" s="103" t="s">
        <v>257</v>
      </c>
      <c r="C12" s="114" t="s">
        <v>258</v>
      </c>
      <c r="D12" s="114" t="s">
        <v>259</v>
      </c>
      <c r="E12" s="114" t="s">
        <v>260</v>
      </c>
      <c r="F12" s="114" t="s">
        <v>261</v>
      </c>
      <c r="I12" s="103" t="s">
        <v>220</v>
      </c>
      <c r="J12" s="114" t="s">
        <v>1</v>
      </c>
      <c r="K12" s="114" t="s">
        <v>232</v>
      </c>
      <c r="L12" s="114" t="s">
        <v>2</v>
      </c>
      <c r="M12" s="97" t="s">
        <v>262</v>
      </c>
      <c r="AC12" s="113"/>
      <c r="AD12" s="113"/>
    </row>
    <row r="13" spans="1:31">
      <c r="B13" s="108">
        <v>2024.12</v>
      </c>
      <c r="C13" s="115">
        <v>6.55</v>
      </c>
      <c r="D13" s="178">
        <v>7.12</v>
      </c>
      <c r="E13" s="108" t="s">
        <v>263</v>
      </c>
      <c r="F13" s="114" t="s">
        <v>264</v>
      </c>
      <c r="I13" s="120">
        <v>43830</v>
      </c>
      <c r="J13" s="116">
        <v>23000</v>
      </c>
      <c r="K13" s="115" t="s">
        <v>265</v>
      </c>
      <c r="L13" s="185" t="s">
        <v>266</v>
      </c>
      <c r="M13" s="115"/>
      <c r="AC13" s="113"/>
      <c r="AD13" s="113"/>
    </row>
    <row r="14" spans="1:31">
      <c r="B14" s="108">
        <v>2473.56</v>
      </c>
      <c r="C14" s="115">
        <v>6.55</v>
      </c>
      <c r="D14" s="178">
        <v>7.46</v>
      </c>
      <c r="E14" s="108" t="s">
        <v>267</v>
      </c>
      <c r="F14" s="114" t="s">
        <v>264</v>
      </c>
      <c r="I14" s="120">
        <v>43830</v>
      </c>
      <c r="J14" s="116">
        <v>30000</v>
      </c>
      <c r="K14" s="115" t="s">
        <v>23</v>
      </c>
      <c r="L14" s="185" t="s">
        <v>266</v>
      </c>
      <c r="M14" s="116"/>
      <c r="AC14" s="113"/>
      <c r="AD14" s="113"/>
    </row>
    <row r="15" spans="1:31">
      <c r="B15" s="108">
        <v>2738.41</v>
      </c>
      <c r="C15" s="115">
        <v>6.55</v>
      </c>
      <c r="D15" s="178">
        <v>8.26</v>
      </c>
      <c r="E15" s="108" t="s">
        <v>268</v>
      </c>
      <c r="F15" s="114" t="s">
        <v>264</v>
      </c>
      <c r="I15" s="120">
        <v>43830</v>
      </c>
      <c r="J15" s="116">
        <v>10000</v>
      </c>
      <c r="K15" s="115" t="s">
        <v>269</v>
      </c>
      <c r="L15" s="185" t="s">
        <v>266</v>
      </c>
      <c r="M15" s="116"/>
      <c r="AC15" s="113"/>
      <c r="AD15" s="113"/>
    </row>
    <row r="16" spans="1:31">
      <c r="B16" s="108">
        <v>3061.65</v>
      </c>
      <c r="C16" s="115">
        <v>6.55</v>
      </c>
      <c r="D16" s="178">
        <v>9.25</v>
      </c>
      <c r="E16" s="108" t="s">
        <v>270</v>
      </c>
      <c r="F16" s="114" t="s">
        <v>264</v>
      </c>
      <c r="I16" s="186">
        <v>43830</v>
      </c>
      <c r="J16" s="116">
        <v>20000</v>
      </c>
      <c r="K16" s="115" t="s">
        <v>22</v>
      </c>
      <c r="L16" s="187" t="s">
        <v>271</v>
      </c>
      <c r="M16" s="117">
        <v>42000</v>
      </c>
      <c r="AC16" s="113"/>
      <c r="AD16" s="113"/>
    </row>
    <row r="17" spans="2:30">
      <c r="B17" s="108">
        <v>3602.59</v>
      </c>
      <c r="C17" s="115">
        <v>5.35</v>
      </c>
      <c r="D17" s="178">
        <v>8.98</v>
      </c>
      <c r="E17" s="108" t="s">
        <v>272</v>
      </c>
      <c r="F17" s="114" t="s">
        <v>264</v>
      </c>
      <c r="I17" s="188"/>
      <c r="J17" s="118"/>
      <c r="K17" s="94"/>
      <c r="L17" s="94"/>
      <c r="M17" s="118"/>
      <c r="AC17" s="113"/>
      <c r="AD17" s="113"/>
    </row>
    <row r="18" spans="2:30">
      <c r="B18" s="108">
        <v>16913.98</v>
      </c>
      <c r="C18" s="115">
        <v>6.55</v>
      </c>
      <c r="D18" s="178">
        <v>11.81</v>
      </c>
      <c r="E18" s="108" t="s">
        <v>273</v>
      </c>
      <c r="F18" s="114" t="s">
        <v>264</v>
      </c>
      <c r="L18" s="94"/>
      <c r="M18" s="94"/>
      <c r="AC18" s="113"/>
      <c r="AD18" s="113"/>
    </row>
    <row r="19" spans="2:30">
      <c r="B19" s="108">
        <v>3987.11</v>
      </c>
      <c r="C19" s="115">
        <v>6.55</v>
      </c>
      <c r="D19" s="178">
        <v>12.04</v>
      </c>
      <c r="E19" s="108" t="s">
        <v>274</v>
      </c>
      <c r="F19" s="114" t="s">
        <v>264</v>
      </c>
      <c r="L19" s="94"/>
      <c r="M19" s="94"/>
      <c r="AC19" s="113"/>
      <c r="AD19" s="113"/>
    </row>
    <row r="20" spans="2:30">
      <c r="B20" s="108">
        <v>3815.43</v>
      </c>
      <c r="C20" s="115">
        <v>5.0599999999999996</v>
      </c>
      <c r="D20" s="178">
        <v>21.19</v>
      </c>
      <c r="E20" s="108" t="s">
        <v>275</v>
      </c>
      <c r="F20" s="114" t="s">
        <v>264</v>
      </c>
      <c r="I20" s="145" t="s">
        <v>276</v>
      </c>
      <c r="J20" s="169"/>
      <c r="K20" s="170"/>
      <c r="L20" s="94"/>
      <c r="M20" s="94"/>
      <c r="AC20" s="113"/>
      <c r="AD20" s="113"/>
    </row>
    <row r="21" spans="2:30">
      <c r="B21" s="108">
        <v>4298.13</v>
      </c>
      <c r="C21" s="115">
        <v>4.25</v>
      </c>
      <c r="D21" s="178">
        <v>9</v>
      </c>
      <c r="E21" s="108" t="s">
        <v>277</v>
      </c>
      <c r="F21" s="114" t="s">
        <v>264</v>
      </c>
      <c r="I21" s="189" t="s">
        <v>278</v>
      </c>
      <c r="J21" s="190"/>
      <c r="K21" s="191"/>
      <c r="AC21" s="113"/>
      <c r="AD21" s="113"/>
    </row>
    <row r="22" spans="2:30">
      <c r="B22" s="108">
        <v>4051.9</v>
      </c>
      <c r="C22" s="115">
        <v>6.55</v>
      </c>
      <c r="D22" s="178">
        <v>13.28</v>
      </c>
      <c r="E22" s="108" t="s">
        <v>279</v>
      </c>
      <c r="F22" s="114" t="s">
        <v>264</v>
      </c>
      <c r="I22" s="172" t="s">
        <v>220</v>
      </c>
      <c r="J22" s="173" t="s">
        <v>1</v>
      </c>
      <c r="K22" s="173" t="s">
        <v>2</v>
      </c>
      <c r="AC22" s="113"/>
      <c r="AD22" s="113"/>
    </row>
    <row r="23" spans="2:30" ht="15.75" customHeight="1">
      <c r="B23" s="108">
        <v>2992.84</v>
      </c>
      <c r="C23" s="115">
        <v>3.15</v>
      </c>
      <c r="D23" s="178">
        <v>8.2200000000000006</v>
      </c>
      <c r="E23" s="108" t="s">
        <v>280</v>
      </c>
      <c r="F23" s="114" t="s">
        <v>264</v>
      </c>
      <c r="I23" s="120">
        <v>43714</v>
      </c>
      <c r="J23" s="116">
        <v>5000</v>
      </c>
      <c r="K23" s="185" t="s">
        <v>266</v>
      </c>
      <c r="Z23" s="113"/>
      <c r="AA23" s="113"/>
      <c r="AB23" s="113"/>
      <c r="AC23" s="113"/>
    </row>
    <row r="24" spans="2:30" ht="15.75" customHeight="1">
      <c r="B24" s="108">
        <v>2383.64</v>
      </c>
      <c r="C24" s="115">
        <v>3.15</v>
      </c>
      <c r="D24" s="178">
        <v>8.35</v>
      </c>
      <c r="E24" s="108" t="s">
        <v>281</v>
      </c>
      <c r="F24" s="114" t="s">
        <v>264</v>
      </c>
      <c r="I24" s="120">
        <v>43728</v>
      </c>
      <c r="J24" s="116">
        <v>6000</v>
      </c>
      <c r="K24" s="185" t="s">
        <v>266</v>
      </c>
      <c r="Z24" s="113"/>
      <c r="AA24" s="113"/>
      <c r="AB24" s="113"/>
      <c r="AC24" s="113"/>
      <c r="AD24" s="113"/>
    </row>
    <row r="25" spans="2:30" ht="15.75" customHeight="1">
      <c r="I25" s="120">
        <v>43742</v>
      </c>
      <c r="J25" s="116">
        <v>8000</v>
      </c>
      <c r="K25" s="185" t="s">
        <v>266</v>
      </c>
      <c r="Z25" s="113"/>
      <c r="AA25" s="113"/>
      <c r="AB25" s="113"/>
      <c r="AC25" s="113"/>
      <c r="AD25" s="113"/>
    </row>
    <row r="26" spans="2:30" ht="15.75" customHeight="1">
      <c r="B26" s="152" t="s">
        <v>282</v>
      </c>
      <c r="C26" s="169"/>
      <c r="D26" s="170"/>
      <c r="E26" s="85"/>
      <c r="F26" s="85"/>
      <c r="G26" s="119"/>
      <c r="I26" s="120">
        <v>43756</v>
      </c>
      <c r="J26" s="116">
        <v>6000</v>
      </c>
      <c r="K26" s="185" t="s">
        <v>266</v>
      </c>
      <c r="Z26" s="113"/>
      <c r="AA26" s="113"/>
      <c r="AB26" s="113"/>
      <c r="AC26" s="113"/>
      <c r="AD26" s="113"/>
    </row>
    <row r="27" spans="2:30" ht="15.75" customHeight="1">
      <c r="B27" s="114" t="s">
        <v>220</v>
      </c>
      <c r="C27" s="192" t="s">
        <v>230</v>
      </c>
      <c r="D27" s="192" t="s">
        <v>283</v>
      </c>
      <c r="E27" s="192" t="s">
        <v>284</v>
      </c>
      <c r="F27" s="192" t="s">
        <v>285</v>
      </c>
      <c r="G27" s="192" t="s">
        <v>2</v>
      </c>
      <c r="H27" s="119"/>
      <c r="I27" s="120">
        <v>43770</v>
      </c>
      <c r="J27" s="116">
        <v>8000</v>
      </c>
      <c r="K27" s="185" t="s">
        <v>266</v>
      </c>
      <c r="Z27" s="113"/>
      <c r="AA27" s="113"/>
      <c r="AB27" s="113"/>
      <c r="AC27" s="113"/>
      <c r="AD27" s="113"/>
    </row>
    <row r="28" spans="2:30" ht="15.75" customHeight="1">
      <c r="B28" s="193">
        <v>43391</v>
      </c>
      <c r="C28" s="178">
        <v>271.68</v>
      </c>
      <c r="D28" s="178">
        <v>29.46</v>
      </c>
      <c r="E28" s="178">
        <v>242.22</v>
      </c>
      <c r="F28" s="178">
        <v>58771.48</v>
      </c>
      <c r="G28" s="114" t="s">
        <v>286</v>
      </c>
      <c r="I28" s="120">
        <v>43784</v>
      </c>
      <c r="J28" s="116">
        <v>7000</v>
      </c>
      <c r="K28" s="185" t="s">
        <v>266</v>
      </c>
      <c r="Z28" s="113"/>
      <c r="AA28" s="113"/>
      <c r="AB28" s="113"/>
      <c r="AC28" s="113"/>
      <c r="AD28" s="113"/>
    </row>
    <row r="29" spans="2:30" ht="15.75" customHeight="1">
      <c r="B29" s="98">
        <v>43422</v>
      </c>
      <c r="C29" s="116">
        <v>271.68</v>
      </c>
      <c r="D29" s="178">
        <v>0</v>
      </c>
      <c r="E29" s="116">
        <v>271.68</v>
      </c>
      <c r="F29" s="178">
        <v>58771.48</v>
      </c>
      <c r="G29" s="114" t="s">
        <v>286</v>
      </c>
      <c r="I29" s="120">
        <v>43798</v>
      </c>
      <c r="J29" s="116">
        <v>6000</v>
      </c>
      <c r="K29" s="185" t="s">
        <v>266</v>
      </c>
      <c r="Z29" s="113"/>
      <c r="AA29" s="113"/>
      <c r="AB29" s="113"/>
      <c r="AC29" s="113"/>
      <c r="AD29" s="113"/>
    </row>
    <row r="30" spans="2:30" ht="15.75" customHeight="1">
      <c r="B30" s="98">
        <v>43452</v>
      </c>
      <c r="C30" s="116">
        <v>600</v>
      </c>
      <c r="D30" s="178">
        <v>561.77</v>
      </c>
      <c r="E30" s="116">
        <v>38.229999999999997</v>
      </c>
      <c r="F30" s="178">
        <v>58209.71</v>
      </c>
      <c r="G30" s="114" t="s">
        <v>286</v>
      </c>
      <c r="I30" s="120">
        <v>43812</v>
      </c>
      <c r="J30" s="116">
        <v>6000</v>
      </c>
      <c r="K30" s="185" t="s">
        <v>266</v>
      </c>
      <c r="Z30" s="113"/>
      <c r="AA30" s="113"/>
      <c r="AB30" s="113"/>
      <c r="AC30" s="113"/>
      <c r="AD30" s="113"/>
    </row>
    <row r="31" spans="2:30" ht="15.75" customHeight="1">
      <c r="B31" s="98">
        <v>43452</v>
      </c>
      <c r="C31" s="116">
        <v>300</v>
      </c>
      <c r="D31" s="178">
        <v>0</v>
      </c>
      <c r="E31" s="116">
        <v>300</v>
      </c>
      <c r="F31" s="178">
        <v>58771.48</v>
      </c>
      <c r="G31" s="114" t="s">
        <v>286</v>
      </c>
      <c r="I31" s="120">
        <v>43826</v>
      </c>
      <c r="J31" s="116">
        <v>6000</v>
      </c>
      <c r="K31" s="115"/>
      <c r="Z31" s="113"/>
      <c r="AA31" s="113"/>
      <c r="AB31" s="113"/>
      <c r="AC31" s="113"/>
      <c r="AD31" s="113"/>
    </row>
    <row r="32" spans="2:30" ht="15.75" customHeight="1">
      <c r="B32" s="98">
        <v>43458</v>
      </c>
      <c r="C32" s="116">
        <v>400</v>
      </c>
      <c r="D32" s="178">
        <v>124.24</v>
      </c>
      <c r="E32" s="116">
        <v>275.76</v>
      </c>
      <c r="F32" s="178">
        <v>58085.47</v>
      </c>
      <c r="G32" s="114" t="s">
        <v>286</v>
      </c>
      <c r="Z32" s="113"/>
      <c r="AA32" s="113"/>
      <c r="AB32" s="113"/>
      <c r="AC32" s="113"/>
      <c r="AD32" s="113"/>
    </row>
    <row r="33" spans="2:30" ht="15.75" customHeight="1">
      <c r="B33" s="98">
        <v>43461</v>
      </c>
      <c r="C33" s="116">
        <v>500</v>
      </c>
      <c r="D33" s="178">
        <v>480.57</v>
      </c>
      <c r="E33" s="116">
        <v>19.43</v>
      </c>
      <c r="F33" s="178">
        <v>57604.9</v>
      </c>
      <c r="G33" s="114" t="s">
        <v>286</v>
      </c>
      <c r="Z33" s="113"/>
      <c r="AA33" s="113"/>
      <c r="AB33" s="113"/>
      <c r="AC33" s="113"/>
      <c r="AD33" s="113"/>
    </row>
    <row r="34" spans="2:30" ht="15.75" customHeight="1">
      <c r="B34" s="98">
        <v>43476</v>
      </c>
      <c r="D34" s="178">
        <v>2251.0100000000002</v>
      </c>
      <c r="E34" s="116">
        <v>248.99</v>
      </c>
      <c r="F34" s="178">
        <v>55353.89</v>
      </c>
      <c r="G34" s="114" t="s">
        <v>286</v>
      </c>
      <c r="Z34" s="113"/>
      <c r="AA34" s="113"/>
      <c r="AB34" s="113"/>
      <c r="AC34" s="113"/>
      <c r="AD34" s="113"/>
    </row>
    <row r="35" spans="2:30" ht="15.75" customHeight="1">
      <c r="B35" s="98">
        <v>43483</v>
      </c>
      <c r="C35" s="116">
        <v>2500</v>
      </c>
      <c r="D35" s="178">
        <v>284.89</v>
      </c>
      <c r="E35" s="116">
        <v>15.11</v>
      </c>
      <c r="F35" s="178">
        <v>55069</v>
      </c>
      <c r="G35" s="114" t="s">
        <v>286</v>
      </c>
      <c r="Z35" s="113"/>
      <c r="AA35" s="113"/>
      <c r="AB35" s="113"/>
      <c r="AC35" s="113"/>
      <c r="AD35" s="113"/>
    </row>
    <row r="36" spans="2:30" ht="15.75" customHeight="1">
      <c r="B36" s="98">
        <v>43493</v>
      </c>
      <c r="C36" s="116">
        <v>1000</v>
      </c>
      <c r="D36" s="178">
        <v>882.16</v>
      </c>
      <c r="E36" s="116">
        <v>117.84</v>
      </c>
      <c r="F36" s="178">
        <v>54186.84</v>
      </c>
      <c r="G36" s="114" t="s">
        <v>286</v>
      </c>
      <c r="Z36" s="113"/>
      <c r="AA36" s="113"/>
      <c r="AB36" s="113"/>
      <c r="AC36" s="113"/>
      <c r="AD36" s="113"/>
    </row>
    <row r="37" spans="2:30" ht="15.75" customHeight="1">
      <c r="B37" s="98">
        <v>43500</v>
      </c>
      <c r="C37" s="116">
        <v>10000</v>
      </c>
      <c r="D37" s="178">
        <v>10000</v>
      </c>
      <c r="E37" s="116">
        <v>0</v>
      </c>
      <c r="F37" s="178">
        <v>43700.92</v>
      </c>
      <c r="G37" s="114" t="s">
        <v>286</v>
      </c>
      <c r="Z37" s="113"/>
      <c r="AA37" s="113"/>
      <c r="AB37" s="113"/>
      <c r="AC37" s="113"/>
      <c r="AD37" s="113"/>
    </row>
    <row r="38" spans="2:30" ht="15.75" customHeight="1">
      <c r="B38" s="98">
        <v>43500</v>
      </c>
      <c r="C38" s="116">
        <v>500</v>
      </c>
      <c r="D38" s="178">
        <v>485.92</v>
      </c>
      <c r="E38" s="116">
        <v>14.08</v>
      </c>
      <c r="F38" s="178">
        <v>53700.92</v>
      </c>
      <c r="G38" s="114" t="s">
        <v>286</v>
      </c>
      <c r="Z38" s="113"/>
      <c r="AA38" s="113"/>
      <c r="AB38" s="113"/>
      <c r="AC38" s="113"/>
      <c r="AD38" s="113"/>
    </row>
    <row r="39" spans="2:30" ht="15.75" customHeight="1">
      <c r="B39" s="98">
        <v>43504</v>
      </c>
      <c r="C39" s="116">
        <v>4000</v>
      </c>
      <c r="D39" s="178">
        <v>3989.86</v>
      </c>
      <c r="E39" s="116">
        <v>10.14</v>
      </c>
      <c r="F39" s="178">
        <v>39711.06</v>
      </c>
      <c r="G39" s="114" t="s">
        <v>286</v>
      </c>
      <c r="Z39" s="113"/>
      <c r="AA39" s="113"/>
      <c r="AB39" s="113"/>
      <c r="AC39" s="113"/>
      <c r="AD39" s="113"/>
    </row>
    <row r="40" spans="2:30" ht="15.75" customHeight="1">
      <c r="B40" s="98">
        <v>43511</v>
      </c>
      <c r="C40" s="116">
        <v>1200</v>
      </c>
      <c r="D40" s="178">
        <v>1107</v>
      </c>
      <c r="E40" s="116">
        <v>93</v>
      </c>
      <c r="F40" s="178">
        <v>38604.06</v>
      </c>
      <c r="G40" s="114" t="s">
        <v>286</v>
      </c>
      <c r="Z40" s="113"/>
      <c r="AA40" s="113"/>
      <c r="AB40" s="113"/>
      <c r="AC40" s="113"/>
      <c r="AD40" s="113"/>
    </row>
    <row r="41" spans="2:30" ht="15.75" customHeight="1">
      <c r="B41" s="98">
        <v>43518</v>
      </c>
      <c r="C41" s="116">
        <v>1000</v>
      </c>
      <c r="D41" s="178">
        <v>995.7</v>
      </c>
      <c r="E41" s="116">
        <v>4.3</v>
      </c>
      <c r="F41" s="178">
        <v>37608.36</v>
      </c>
      <c r="G41" s="114" t="s">
        <v>286</v>
      </c>
      <c r="Z41" s="113"/>
      <c r="AA41" s="113"/>
      <c r="AB41" s="113"/>
      <c r="AC41" s="113"/>
      <c r="AD41" s="113"/>
    </row>
    <row r="42" spans="2:30" ht="15.75" customHeight="1">
      <c r="B42" s="98">
        <v>43523</v>
      </c>
      <c r="C42" s="116">
        <v>2500</v>
      </c>
      <c r="D42" s="178">
        <v>2441.27</v>
      </c>
      <c r="E42" s="116">
        <v>58.73</v>
      </c>
      <c r="F42" s="178">
        <v>35167.089999999997</v>
      </c>
      <c r="G42" s="114" t="s">
        <v>286</v>
      </c>
      <c r="Z42" s="113"/>
      <c r="AA42" s="113"/>
      <c r="AB42" s="113"/>
      <c r="AC42" s="113"/>
      <c r="AD42" s="113"/>
    </row>
    <row r="43" spans="2:30" ht="15.75" customHeight="1">
      <c r="B43" s="98">
        <v>43537</v>
      </c>
      <c r="C43" s="116">
        <v>2500</v>
      </c>
      <c r="D43" s="178">
        <v>2492.71</v>
      </c>
      <c r="E43" s="116">
        <v>7.29</v>
      </c>
      <c r="F43" s="178">
        <v>32674.38</v>
      </c>
      <c r="G43" s="114" t="s">
        <v>286</v>
      </c>
      <c r="Z43" s="113"/>
      <c r="AA43" s="113"/>
      <c r="AB43" s="113"/>
      <c r="AC43" s="113"/>
      <c r="AD43" s="113"/>
    </row>
    <row r="44" spans="2:30" ht="15.75" customHeight="1">
      <c r="B44" s="98">
        <v>43550</v>
      </c>
      <c r="C44" s="116">
        <v>493.87</v>
      </c>
      <c r="D44" s="178">
        <v>491.85</v>
      </c>
      <c r="E44" s="116">
        <v>2.02</v>
      </c>
      <c r="F44" s="178">
        <v>32182.53</v>
      </c>
      <c r="G44" s="114" t="s">
        <v>286</v>
      </c>
      <c r="Z44" s="113"/>
      <c r="AA44" s="113"/>
      <c r="AB44" s="113"/>
      <c r="AC44" s="113"/>
      <c r="AD44" s="113"/>
    </row>
    <row r="45" spans="2:30" ht="15.75" customHeight="1">
      <c r="B45" s="98">
        <v>43552</v>
      </c>
      <c r="C45" s="116">
        <v>2500</v>
      </c>
      <c r="D45" s="178">
        <v>2378.36</v>
      </c>
      <c r="E45" s="116">
        <v>121.64</v>
      </c>
      <c r="F45" s="178">
        <v>29804.17</v>
      </c>
      <c r="G45" s="114" t="s">
        <v>286</v>
      </c>
      <c r="Z45" s="113"/>
      <c r="AA45" s="113"/>
      <c r="AB45" s="113"/>
      <c r="AC45" s="113"/>
      <c r="AD45" s="113"/>
    </row>
    <row r="46" spans="2:30" ht="15.75" customHeight="1">
      <c r="B46" s="98">
        <v>43566</v>
      </c>
      <c r="C46" s="116">
        <v>2500</v>
      </c>
      <c r="D46" s="178">
        <v>2445.6799999999998</v>
      </c>
      <c r="E46" s="116">
        <v>54.32</v>
      </c>
      <c r="F46" s="178">
        <v>27358.49</v>
      </c>
      <c r="G46" s="114" t="s">
        <v>286</v>
      </c>
      <c r="Z46" s="113"/>
      <c r="AA46" s="113"/>
      <c r="AB46" s="113"/>
      <c r="AC46" s="113"/>
      <c r="AD46" s="113"/>
    </row>
    <row r="47" spans="2:30" ht="15.75" customHeight="1">
      <c r="B47" s="98">
        <v>43581</v>
      </c>
      <c r="C47" s="178">
        <v>2100</v>
      </c>
      <c r="D47" s="178">
        <v>2100</v>
      </c>
      <c r="E47" s="116">
        <v>0</v>
      </c>
      <c r="F47" s="178">
        <v>24774.82</v>
      </c>
      <c r="G47" s="114" t="s">
        <v>286</v>
      </c>
      <c r="Z47" s="113"/>
      <c r="AA47" s="113"/>
      <c r="AB47" s="113"/>
      <c r="AC47" s="113"/>
      <c r="AD47" s="113"/>
    </row>
    <row r="48" spans="2:30" ht="15.75" customHeight="1">
      <c r="B48" s="98">
        <v>43581</v>
      </c>
      <c r="C48" s="178">
        <v>493.87</v>
      </c>
      <c r="D48" s="178">
        <v>483.67</v>
      </c>
      <c r="E48" s="178">
        <v>10.199999999999999</v>
      </c>
      <c r="F48" s="178">
        <v>26874.82</v>
      </c>
      <c r="G48" s="114" t="s">
        <v>286</v>
      </c>
      <c r="Z48" s="113"/>
      <c r="AA48" s="113"/>
      <c r="AB48" s="113"/>
      <c r="AC48" s="113"/>
      <c r="AD48" s="113"/>
    </row>
    <row r="49" spans="2:30" ht="15.75" customHeight="1">
      <c r="B49" s="98">
        <v>43611</v>
      </c>
      <c r="C49" s="178">
        <v>493.87</v>
      </c>
      <c r="D49" s="178">
        <v>363.02</v>
      </c>
      <c r="E49" s="178">
        <v>130.85</v>
      </c>
      <c r="F49" s="178">
        <v>24411.8</v>
      </c>
      <c r="G49" s="114" t="s">
        <v>286</v>
      </c>
      <c r="Z49" s="113"/>
      <c r="AA49" s="113"/>
      <c r="AB49" s="113"/>
      <c r="AC49" s="113"/>
      <c r="AD49" s="113"/>
    </row>
    <row r="50" spans="2:30" ht="15.75" customHeight="1">
      <c r="B50" s="98">
        <v>43642</v>
      </c>
      <c r="C50" s="178">
        <v>493.87</v>
      </c>
      <c r="D50" s="178">
        <v>402.88</v>
      </c>
      <c r="E50" s="178">
        <v>90.99</v>
      </c>
      <c r="F50" s="178">
        <v>24008.92</v>
      </c>
      <c r="G50" s="114" t="s">
        <v>286</v>
      </c>
      <c r="X50" s="113"/>
      <c r="Y50" s="113"/>
      <c r="Z50" s="113"/>
      <c r="AA50" s="113"/>
      <c r="AB50" s="113"/>
    </row>
    <row r="51" spans="2:30" ht="15.75" customHeight="1">
      <c r="B51" s="98">
        <v>43672</v>
      </c>
      <c r="C51" s="178">
        <v>493.87</v>
      </c>
      <c r="D51" s="178">
        <v>407.25</v>
      </c>
      <c r="E51" s="178">
        <v>86.62</v>
      </c>
      <c r="F51" s="178">
        <v>23601.67</v>
      </c>
      <c r="G51" s="114" t="s">
        <v>286</v>
      </c>
      <c r="X51" s="113"/>
      <c r="Y51" s="113"/>
      <c r="Z51" s="113"/>
      <c r="AA51" s="113"/>
      <c r="AB51" s="113"/>
    </row>
    <row r="52" spans="2:30" ht="15.75" customHeight="1">
      <c r="B52" s="98">
        <v>43703</v>
      </c>
      <c r="C52" s="178">
        <v>493.87</v>
      </c>
      <c r="D52" s="178">
        <v>405.89</v>
      </c>
      <c r="E52" s="178">
        <v>87.98</v>
      </c>
      <c r="F52" s="178">
        <v>23195.78</v>
      </c>
      <c r="G52" s="114" t="s">
        <v>286</v>
      </c>
      <c r="X52" s="113"/>
      <c r="Y52" s="113"/>
      <c r="Z52" s="113"/>
      <c r="AA52" s="113"/>
      <c r="AB52" s="113"/>
    </row>
    <row r="53" spans="2:30" ht="15.75" customHeight="1">
      <c r="B53" s="98">
        <v>43718</v>
      </c>
      <c r="C53" s="178">
        <v>18000</v>
      </c>
      <c r="D53" s="178">
        <v>17958</v>
      </c>
      <c r="E53" s="178">
        <v>42</v>
      </c>
      <c r="F53" s="178">
        <v>5237.78</v>
      </c>
      <c r="G53" s="114" t="s">
        <v>286</v>
      </c>
      <c r="X53" s="113"/>
      <c r="Y53" s="113"/>
      <c r="Z53" s="113"/>
      <c r="AA53" s="113"/>
      <c r="AB53" s="113"/>
    </row>
    <row r="54" spans="2:30" ht="15.75" customHeight="1">
      <c r="B54" s="98">
        <v>43724</v>
      </c>
      <c r="C54" s="178">
        <v>1481.62</v>
      </c>
      <c r="D54" s="178">
        <v>1478.69</v>
      </c>
      <c r="E54" s="178">
        <v>2.93</v>
      </c>
      <c r="F54" s="178">
        <v>3759.09</v>
      </c>
      <c r="G54" s="114" t="s">
        <v>286</v>
      </c>
      <c r="X54" s="113"/>
      <c r="Y54" s="113"/>
      <c r="Z54" s="113"/>
      <c r="AA54" s="113"/>
      <c r="AB54" s="113"/>
    </row>
    <row r="55" spans="2:30" ht="15.75" customHeight="1">
      <c r="B55" s="98">
        <v>43761</v>
      </c>
      <c r="C55" s="178">
        <v>3759.09</v>
      </c>
      <c r="D55" s="178">
        <v>3759.09</v>
      </c>
      <c r="E55" s="178">
        <v>2.93</v>
      </c>
      <c r="F55" s="178">
        <v>0</v>
      </c>
      <c r="G55" s="114" t="s">
        <v>286</v>
      </c>
      <c r="X55" s="113"/>
      <c r="Y55" s="113"/>
      <c r="Z55" s="113"/>
      <c r="AA55" s="113"/>
      <c r="AB55" s="113"/>
    </row>
    <row r="56" spans="2:30" ht="15.75" customHeight="1">
      <c r="X56" s="113"/>
      <c r="Y56" s="113"/>
      <c r="Z56" s="113"/>
      <c r="AA56" s="113"/>
      <c r="AB56" s="113"/>
    </row>
    <row r="57" spans="2:30" ht="15.75" customHeight="1">
      <c r="W57" s="121"/>
      <c r="X57" s="113"/>
      <c r="Y57" s="113"/>
      <c r="Z57" s="113"/>
      <c r="AA57" s="113"/>
      <c r="AB57" s="113"/>
    </row>
    <row r="58" spans="2:30" ht="15.75" customHeight="1">
      <c r="W58" s="121"/>
      <c r="X58" s="113"/>
      <c r="Y58" s="113"/>
      <c r="Z58" s="113"/>
      <c r="AA58" s="113"/>
      <c r="AB58" s="113"/>
    </row>
    <row r="59" spans="2:30" ht="15.75" customHeight="1">
      <c r="W59" s="121"/>
      <c r="X59" s="113"/>
      <c r="Y59" s="113"/>
      <c r="Z59" s="113"/>
      <c r="AA59" s="113"/>
      <c r="AB59" s="113"/>
    </row>
    <row r="60" spans="2:30" ht="15.75" customHeight="1">
      <c r="W60" s="121"/>
      <c r="X60" s="113"/>
      <c r="Y60" s="113"/>
      <c r="Z60" s="113"/>
      <c r="AA60" s="113"/>
    </row>
    <row r="61" spans="2:30" ht="15.75" customHeight="1">
      <c r="W61" s="121"/>
      <c r="X61" s="113"/>
      <c r="Y61" s="113"/>
      <c r="Z61" s="113"/>
      <c r="AA61" s="113"/>
    </row>
    <row r="62" spans="2:30" ht="15.75" customHeight="1">
      <c r="X62" s="113"/>
      <c r="Y62" s="113"/>
      <c r="Z62" s="113"/>
      <c r="AA62" s="113"/>
    </row>
    <row r="63" spans="2:30" ht="15.75" customHeight="1">
      <c r="X63" s="113"/>
      <c r="Y63" s="113"/>
      <c r="Z63" s="113"/>
    </row>
    <row r="64" spans="2:30" ht="15.75" customHeight="1">
      <c r="K64" s="122"/>
      <c r="X64" s="113"/>
      <c r="Y64" s="113"/>
      <c r="Z64" s="113"/>
    </row>
    <row r="65" spans="2:30" ht="15.75" customHeight="1">
      <c r="K65" s="122"/>
      <c r="X65" s="113"/>
      <c r="Y65" s="113"/>
      <c r="Z65" s="113"/>
    </row>
    <row r="66" spans="2:30" ht="15.75" customHeight="1">
      <c r="K66" s="122"/>
      <c r="X66" s="113"/>
      <c r="Y66" s="113"/>
      <c r="Z66" s="113"/>
      <c r="AA66" s="113"/>
    </row>
    <row r="67" spans="2:30" ht="15.75" customHeight="1">
      <c r="J67" s="119"/>
      <c r="K67" s="122"/>
      <c r="X67" s="113"/>
      <c r="Y67" s="113"/>
      <c r="Z67" s="113"/>
      <c r="AA67" s="113"/>
    </row>
    <row r="68" spans="2:30" ht="15.75" customHeight="1">
      <c r="J68" s="119"/>
      <c r="K68" s="122"/>
      <c r="X68" s="113"/>
      <c r="Y68" s="113"/>
      <c r="Z68" s="113"/>
      <c r="AA68" s="113"/>
      <c r="AB68" s="113"/>
    </row>
    <row r="69" spans="2:30" ht="15.75" customHeight="1">
      <c r="J69" s="119"/>
      <c r="X69" s="113"/>
      <c r="Y69" s="113"/>
      <c r="Z69" s="113"/>
      <c r="AA69" s="113"/>
      <c r="AB69" s="113"/>
    </row>
    <row r="70" spans="2:30" ht="15.75" customHeight="1">
      <c r="I70" s="119"/>
      <c r="J70" s="119"/>
      <c r="X70" s="113"/>
      <c r="Y70" s="113"/>
      <c r="Z70" s="113"/>
      <c r="AA70" s="113"/>
      <c r="AB70" s="113"/>
    </row>
    <row r="71" spans="2:30" ht="15.75" customHeight="1">
      <c r="I71" s="119"/>
      <c r="J71" s="119"/>
      <c r="X71" s="113"/>
      <c r="Y71" s="113"/>
      <c r="Z71" s="113"/>
      <c r="AA71" s="113"/>
      <c r="AB71" s="113"/>
    </row>
    <row r="72" spans="2:30" ht="15.75" customHeight="1">
      <c r="I72" s="119"/>
      <c r="J72" s="119"/>
      <c r="X72" s="113"/>
      <c r="Y72" s="113"/>
      <c r="Z72" s="113"/>
      <c r="AA72" s="113"/>
      <c r="AB72" s="113"/>
    </row>
    <row r="73" spans="2:30" ht="15.75" customHeight="1">
      <c r="I73" s="119"/>
      <c r="J73" s="119"/>
      <c r="X73" s="113"/>
      <c r="Y73" s="113"/>
      <c r="Z73" s="113"/>
      <c r="AA73" s="113"/>
      <c r="AB73" s="113"/>
    </row>
    <row r="74" spans="2:30" ht="15.75" customHeight="1">
      <c r="I74" s="119"/>
      <c r="J74" s="119"/>
      <c r="X74" s="113"/>
      <c r="Y74" s="113"/>
      <c r="Z74" s="113"/>
      <c r="AA74" s="113"/>
      <c r="AB74" s="113"/>
    </row>
    <row r="75" spans="2:30" ht="15.75" customHeight="1">
      <c r="B75" s="153"/>
      <c r="C75" s="140"/>
      <c r="D75" s="140"/>
      <c r="E75" s="140"/>
      <c r="F75" s="140"/>
      <c r="G75" s="140"/>
      <c r="H75" s="140"/>
      <c r="I75" s="119"/>
      <c r="J75" s="119"/>
      <c r="X75" s="113"/>
      <c r="Y75" s="113"/>
      <c r="Z75" s="113"/>
      <c r="AA75" s="113"/>
      <c r="AB75" s="113"/>
    </row>
    <row r="76" spans="2:30" ht="15.75" customHeight="1">
      <c r="B76" s="90"/>
      <c r="C76" s="123"/>
      <c r="D76" s="123"/>
      <c r="E76" s="123"/>
      <c r="F76" s="123"/>
      <c r="G76" s="123"/>
      <c r="H76" s="123"/>
      <c r="I76" s="119"/>
      <c r="J76" s="119"/>
      <c r="L76" s="121"/>
      <c r="M76" s="121"/>
      <c r="N76" s="121"/>
      <c r="X76" s="113"/>
      <c r="Y76" s="113"/>
      <c r="Z76" s="113"/>
      <c r="AA76" s="113"/>
      <c r="AB76" s="113"/>
    </row>
    <row r="77" spans="2:30" ht="15.75" customHeight="1">
      <c r="B77" s="96"/>
      <c r="C77" s="94"/>
      <c r="D77" s="94"/>
      <c r="E77" s="94"/>
      <c r="F77" s="94"/>
      <c r="G77" s="94"/>
      <c r="H77" s="94"/>
      <c r="I77" s="119"/>
      <c r="J77" s="119"/>
      <c r="L77" s="121"/>
      <c r="M77" s="121"/>
      <c r="N77" s="121"/>
      <c r="X77" s="113"/>
      <c r="Y77" s="113"/>
      <c r="Z77" s="113"/>
      <c r="AA77" s="113"/>
      <c r="AB77" s="113"/>
    </row>
    <row r="78" spans="2:30" ht="15.75" customHeight="1">
      <c r="B78" s="96"/>
      <c r="C78" s="94"/>
      <c r="D78" s="94"/>
      <c r="E78" s="94"/>
      <c r="F78" s="94"/>
      <c r="G78" s="94"/>
      <c r="H78" s="94"/>
      <c r="I78" s="119"/>
      <c r="J78" s="119"/>
      <c r="L78" s="121"/>
      <c r="M78" s="121"/>
      <c r="N78" s="121"/>
      <c r="W78" s="113"/>
      <c r="X78" s="113"/>
      <c r="Y78" s="113"/>
      <c r="Z78" s="113"/>
      <c r="AA78" s="113"/>
      <c r="AB78" s="113"/>
      <c r="AC78" s="113"/>
      <c r="AD78" s="113"/>
    </row>
    <row r="79" spans="2:30" ht="15.75" customHeight="1">
      <c r="B79" s="96"/>
      <c r="C79" s="94"/>
      <c r="D79" s="94"/>
      <c r="E79" s="94"/>
      <c r="F79" s="94"/>
      <c r="G79" s="94"/>
      <c r="H79" s="94"/>
      <c r="I79" s="119"/>
      <c r="J79" s="119"/>
      <c r="L79" s="121"/>
      <c r="M79" s="121"/>
      <c r="N79" s="121"/>
      <c r="W79" s="113"/>
      <c r="X79" s="113"/>
      <c r="Y79" s="113"/>
      <c r="Z79" s="113"/>
      <c r="AA79" s="113"/>
      <c r="AB79" s="113"/>
      <c r="AC79" s="113"/>
      <c r="AD79" s="113"/>
    </row>
    <row r="80" spans="2:30" ht="15.75" customHeight="1">
      <c r="B80" s="96"/>
      <c r="C80" s="94"/>
      <c r="D80" s="94"/>
      <c r="E80" s="94"/>
      <c r="F80" s="94"/>
      <c r="G80" s="94"/>
      <c r="H80" s="94"/>
      <c r="I80" s="119"/>
      <c r="J80" s="119"/>
      <c r="L80" s="121"/>
      <c r="M80" s="121"/>
      <c r="N80" s="121"/>
      <c r="W80" s="113"/>
      <c r="X80" s="113"/>
      <c r="Y80" s="113"/>
      <c r="Z80" s="113"/>
      <c r="AA80" s="113"/>
      <c r="AB80" s="113"/>
      <c r="AC80" s="113"/>
      <c r="AD80" s="113"/>
    </row>
    <row r="81" spans="2:30" ht="19.5" customHeight="1">
      <c r="B81" s="96"/>
      <c r="C81" s="94"/>
      <c r="D81" s="94"/>
      <c r="E81" s="94"/>
      <c r="F81" s="94"/>
      <c r="G81" s="94"/>
      <c r="H81" s="94"/>
      <c r="I81" s="119"/>
      <c r="J81" s="119"/>
      <c r="K81" s="119"/>
      <c r="W81" s="113"/>
      <c r="X81" s="113"/>
      <c r="Y81" s="113"/>
      <c r="Z81" s="113"/>
      <c r="AA81" s="113"/>
      <c r="AB81" s="113"/>
      <c r="AC81" s="113"/>
      <c r="AD81" s="113"/>
    </row>
    <row r="82" spans="2:30" ht="15.75" customHeight="1">
      <c r="B82" s="96"/>
      <c r="C82" s="94"/>
      <c r="D82" s="94"/>
      <c r="E82" s="94"/>
      <c r="F82" s="94"/>
      <c r="G82" s="94"/>
      <c r="H82" s="94"/>
      <c r="I82" s="119"/>
      <c r="J82" s="119"/>
      <c r="K82" s="119"/>
      <c r="W82" s="113"/>
      <c r="X82" s="113"/>
      <c r="Y82" s="113"/>
      <c r="Z82" s="113"/>
      <c r="AA82" s="113"/>
      <c r="AB82" s="113"/>
      <c r="AC82" s="113"/>
      <c r="AD82" s="113"/>
    </row>
    <row r="83" spans="2:30" ht="15.75" customHeight="1">
      <c r="B83" s="96"/>
      <c r="C83" s="94"/>
      <c r="D83" s="94"/>
      <c r="E83" s="94"/>
      <c r="F83" s="94"/>
      <c r="G83" s="94"/>
      <c r="H83" s="94"/>
      <c r="I83" s="119"/>
      <c r="J83" s="119"/>
      <c r="K83" s="119"/>
      <c r="V83" s="113"/>
      <c r="W83" s="113"/>
      <c r="X83" s="113"/>
      <c r="Y83" s="113"/>
      <c r="Z83" s="113"/>
      <c r="AA83" s="113"/>
      <c r="AB83" s="113"/>
      <c r="AC83" s="113"/>
      <c r="AD83" s="113"/>
    </row>
    <row r="84" spans="2:30" ht="15.75" customHeight="1">
      <c r="B84" s="96"/>
      <c r="C84" s="94"/>
      <c r="D84" s="94"/>
      <c r="E84" s="94"/>
      <c r="F84" s="94"/>
      <c r="G84" s="94"/>
      <c r="H84" s="94"/>
      <c r="I84" s="119"/>
      <c r="J84" s="119"/>
      <c r="K84" s="119"/>
      <c r="V84" s="113"/>
      <c r="W84" s="113"/>
      <c r="X84" s="113"/>
      <c r="Y84" s="113"/>
      <c r="Z84" s="113"/>
      <c r="AA84" s="113"/>
      <c r="AB84" s="113"/>
      <c r="AC84" s="113"/>
      <c r="AD84" s="113"/>
    </row>
    <row r="85" spans="2:30" ht="15.75" customHeight="1">
      <c r="B85" s="96"/>
      <c r="C85" s="94"/>
      <c r="D85" s="94"/>
      <c r="E85" s="94"/>
      <c r="F85" s="94"/>
      <c r="G85" s="94"/>
      <c r="H85" s="94"/>
      <c r="V85" s="113"/>
      <c r="W85" s="113"/>
      <c r="X85" s="113"/>
      <c r="Y85" s="113"/>
      <c r="Z85" s="113"/>
      <c r="AA85" s="113"/>
      <c r="AB85" s="113"/>
      <c r="AC85" s="113"/>
      <c r="AD85" s="113"/>
    </row>
    <row r="86" spans="2:30" ht="15.75" customHeight="1">
      <c r="B86" s="96"/>
      <c r="C86" s="94"/>
      <c r="D86" s="94"/>
      <c r="E86" s="94"/>
      <c r="F86" s="94"/>
      <c r="G86" s="94"/>
      <c r="H86" s="94"/>
      <c r="V86" s="113"/>
      <c r="W86" s="113"/>
      <c r="X86" s="113"/>
      <c r="Y86" s="113"/>
      <c r="Z86" s="113"/>
      <c r="AA86" s="113"/>
      <c r="AB86" s="113"/>
      <c r="AC86" s="113"/>
      <c r="AD86" s="113"/>
    </row>
    <row r="87" spans="2:30" ht="15.75" customHeight="1">
      <c r="B87" s="96"/>
      <c r="C87" s="94"/>
      <c r="D87" s="94"/>
      <c r="E87" s="94"/>
      <c r="F87" s="94"/>
      <c r="G87" s="94"/>
      <c r="H87" s="94"/>
      <c r="V87" s="113"/>
      <c r="W87" s="113"/>
      <c r="X87" s="113"/>
      <c r="Y87" s="113"/>
      <c r="Z87" s="113"/>
      <c r="AA87" s="113"/>
      <c r="AB87" s="113"/>
      <c r="AC87" s="113"/>
      <c r="AD87" s="113"/>
    </row>
    <row r="88" spans="2:30" ht="15.75" customHeight="1">
      <c r="B88" s="96"/>
      <c r="C88" s="94"/>
      <c r="D88" s="94"/>
      <c r="E88" s="94"/>
      <c r="F88" s="94"/>
      <c r="G88" s="94"/>
      <c r="H88" s="94"/>
      <c r="V88" s="113"/>
      <c r="W88" s="113"/>
      <c r="X88" s="113"/>
      <c r="Y88" s="113"/>
      <c r="Z88" s="113"/>
      <c r="AA88" s="113"/>
      <c r="AB88" s="113"/>
      <c r="AC88" s="113"/>
      <c r="AD88" s="113"/>
    </row>
    <row r="89" spans="2:30" ht="15.75" customHeight="1">
      <c r="B89" s="96"/>
      <c r="C89" s="94"/>
      <c r="D89" s="94"/>
      <c r="E89" s="94"/>
      <c r="F89" s="94"/>
      <c r="G89" s="94"/>
      <c r="H89" s="94"/>
      <c r="V89" s="113"/>
      <c r="W89" s="113"/>
      <c r="X89" s="113"/>
      <c r="Y89" s="113"/>
      <c r="Z89" s="113"/>
      <c r="AA89" s="113"/>
      <c r="AB89" s="113"/>
      <c r="AC89" s="113"/>
      <c r="AD89" s="113"/>
    </row>
    <row r="90" spans="2:30" ht="15.75" customHeight="1">
      <c r="B90" s="96"/>
      <c r="C90" s="94"/>
      <c r="D90" s="94"/>
      <c r="E90" s="94"/>
      <c r="F90" s="94"/>
      <c r="G90" s="94"/>
      <c r="H90" s="94"/>
      <c r="I90" s="119"/>
      <c r="J90" s="119"/>
      <c r="K90" s="119"/>
      <c r="V90" s="113"/>
      <c r="W90" s="113"/>
      <c r="X90" s="113"/>
      <c r="Y90" s="113"/>
      <c r="Z90" s="113"/>
      <c r="AA90" s="113"/>
      <c r="AB90" s="113"/>
      <c r="AC90" s="113"/>
      <c r="AD90" s="113"/>
    </row>
    <row r="91" spans="2:30" ht="15.75" customHeight="1">
      <c r="B91" s="96"/>
      <c r="C91" s="94"/>
      <c r="D91" s="94"/>
      <c r="E91" s="94"/>
      <c r="F91" s="94"/>
      <c r="G91" s="94"/>
      <c r="H91" s="94"/>
      <c r="I91" s="119"/>
      <c r="J91" s="119"/>
      <c r="K91" s="119"/>
      <c r="V91" s="113"/>
      <c r="W91" s="113"/>
      <c r="X91" s="113"/>
      <c r="Y91" s="113"/>
      <c r="Z91" s="113"/>
      <c r="AA91" s="113"/>
      <c r="AB91" s="113"/>
      <c r="AC91" s="113"/>
      <c r="AD91" s="113"/>
    </row>
    <row r="92" spans="2:30" ht="15.75" customHeight="1">
      <c r="B92" s="96"/>
      <c r="C92" s="94"/>
      <c r="D92" s="94"/>
      <c r="E92" s="94"/>
      <c r="F92" s="94"/>
      <c r="G92" s="94"/>
      <c r="H92" s="94"/>
      <c r="I92" s="119"/>
      <c r="J92" s="119"/>
      <c r="K92" s="119"/>
      <c r="V92" s="113"/>
      <c r="W92" s="113"/>
      <c r="X92" s="113"/>
      <c r="Y92" s="113"/>
      <c r="Z92" s="113"/>
      <c r="AA92" s="113"/>
      <c r="AB92" s="113"/>
      <c r="AC92" s="113"/>
      <c r="AD92" s="113"/>
    </row>
    <row r="93" spans="2:30" ht="15.75" customHeight="1">
      <c r="B93" s="96"/>
      <c r="C93" s="94"/>
      <c r="D93" s="94"/>
      <c r="E93" s="94"/>
      <c r="F93" s="94"/>
      <c r="G93" s="94"/>
      <c r="H93" s="94"/>
      <c r="I93" s="119"/>
      <c r="J93" s="119"/>
      <c r="K93" s="119"/>
      <c r="L93" s="113"/>
      <c r="V93" s="113"/>
      <c r="W93" s="113"/>
      <c r="X93" s="113"/>
      <c r="Y93" s="113"/>
      <c r="Z93" s="113"/>
      <c r="AA93" s="113"/>
      <c r="AB93" s="113"/>
      <c r="AC93" s="113"/>
      <c r="AD93" s="113"/>
    </row>
    <row r="94" spans="2:30" ht="15.75" customHeight="1">
      <c r="B94" s="96"/>
      <c r="C94" s="94"/>
      <c r="D94" s="94"/>
      <c r="E94" s="94"/>
      <c r="F94" s="94"/>
      <c r="G94" s="94"/>
      <c r="H94" s="94"/>
      <c r="I94" s="119"/>
      <c r="J94" s="119"/>
      <c r="K94" s="119"/>
      <c r="L94" s="113"/>
      <c r="V94" s="113"/>
      <c r="W94" s="113"/>
      <c r="X94" s="113"/>
      <c r="Y94" s="113"/>
      <c r="Z94" s="113"/>
      <c r="AA94" s="113"/>
      <c r="AB94" s="113"/>
      <c r="AC94" s="113"/>
      <c r="AD94" s="113"/>
    </row>
    <row r="95" spans="2:30" ht="15.75" customHeight="1">
      <c r="B95" s="96"/>
      <c r="C95" s="94"/>
      <c r="D95" s="94"/>
      <c r="E95" s="94"/>
      <c r="F95" s="94"/>
      <c r="G95" s="94"/>
      <c r="H95" s="94"/>
      <c r="I95" s="119"/>
      <c r="J95" s="119"/>
      <c r="K95" s="119"/>
      <c r="L95" s="113"/>
      <c r="V95" s="113"/>
      <c r="W95" s="113"/>
      <c r="X95" s="113"/>
      <c r="Y95" s="113"/>
      <c r="Z95" s="113"/>
      <c r="AA95" s="113"/>
      <c r="AB95" s="113"/>
      <c r="AC95" s="113"/>
      <c r="AD95" s="113"/>
    </row>
    <row r="96" spans="2:30" ht="15.75" customHeight="1">
      <c r="B96" s="96"/>
      <c r="C96" s="94"/>
      <c r="D96" s="94"/>
      <c r="E96" s="94"/>
      <c r="F96" s="94"/>
      <c r="G96" s="94"/>
      <c r="H96" s="94"/>
      <c r="I96" s="119"/>
      <c r="J96" s="119"/>
      <c r="K96" s="119"/>
      <c r="L96" s="113"/>
      <c r="V96" s="113"/>
      <c r="W96" s="113"/>
      <c r="X96" s="113"/>
      <c r="Y96" s="113"/>
      <c r="Z96" s="113"/>
      <c r="AA96" s="113"/>
      <c r="AB96" s="113"/>
      <c r="AC96" s="113"/>
      <c r="AD96" s="113"/>
    </row>
    <row r="97" spans="2:30" ht="15.75" customHeight="1">
      <c r="B97" s="96"/>
      <c r="C97" s="94"/>
      <c r="D97" s="94"/>
      <c r="E97" s="94"/>
      <c r="F97" s="94"/>
      <c r="G97" s="94"/>
      <c r="H97" s="94"/>
      <c r="I97" s="119"/>
      <c r="J97" s="119"/>
      <c r="K97" s="119"/>
      <c r="N97" s="113"/>
      <c r="V97" s="113"/>
      <c r="W97" s="113"/>
      <c r="X97" s="113"/>
      <c r="Y97" s="113"/>
      <c r="Z97" s="113"/>
      <c r="AA97" s="113"/>
      <c r="AB97" s="113"/>
      <c r="AC97" s="113"/>
      <c r="AD97" s="113"/>
    </row>
    <row r="98" spans="2:30" ht="15.75" customHeight="1">
      <c r="B98" s="96"/>
      <c r="C98" s="94"/>
      <c r="D98" s="94"/>
      <c r="E98" s="94"/>
      <c r="F98" s="94"/>
      <c r="G98" s="94"/>
      <c r="H98" s="94"/>
      <c r="I98" s="119"/>
      <c r="J98" s="119"/>
      <c r="K98" s="119"/>
      <c r="N98" s="113"/>
      <c r="V98" s="113"/>
      <c r="W98" s="113"/>
      <c r="X98" s="113"/>
      <c r="Y98" s="113"/>
      <c r="Z98" s="113"/>
      <c r="AA98" s="113"/>
      <c r="AB98" s="113"/>
      <c r="AC98" s="113"/>
      <c r="AD98" s="113"/>
    </row>
    <row r="99" spans="2:30" ht="15.75" customHeight="1">
      <c r="B99" s="96"/>
      <c r="C99" s="94"/>
      <c r="D99" s="94"/>
      <c r="E99" s="94"/>
      <c r="F99" s="94"/>
      <c r="G99" s="94"/>
      <c r="H99" s="94"/>
      <c r="I99" s="119"/>
      <c r="J99" s="119"/>
      <c r="K99" s="119"/>
      <c r="N99" s="113"/>
      <c r="V99" s="113"/>
      <c r="W99" s="113"/>
      <c r="X99" s="113"/>
      <c r="Y99" s="113"/>
      <c r="Z99" s="113"/>
      <c r="AA99" s="113"/>
      <c r="AB99" s="113"/>
      <c r="AC99" s="113"/>
      <c r="AD99" s="113"/>
    </row>
    <row r="100" spans="2:30" ht="15.75" customHeight="1">
      <c r="B100" s="96"/>
      <c r="C100" s="94"/>
      <c r="D100" s="94"/>
      <c r="E100" s="94"/>
      <c r="F100" s="94"/>
      <c r="G100" s="94"/>
      <c r="H100" s="94"/>
      <c r="I100" s="119"/>
      <c r="J100" s="119"/>
      <c r="K100" s="119"/>
      <c r="N100" s="113"/>
      <c r="V100" s="113"/>
      <c r="W100" s="113"/>
      <c r="X100" s="113"/>
      <c r="Y100" s="113"/>
      <c r="Z100" s="113"/>
      <c r="AA100" s="113"/>
      <c r="AB100" s="113"/>
      <c r="AC100" s="113"/>
      <c r="AD100" s="113"/>
    </row>
    <row r="101" spans="2:30" ht="15.75" customHeight="1">
      <c r="B101" s="96"/>
      <c r="C101" s="94"/>
      <c r="D101" s="94"/>
      <c r="E101" s="94"/>
      <c r="F101" s="94"/>
      <c r="G101" s="94"/>
      <c r="H101" s="94"/>
      <c r="I101" s="119"/>
      <c r="J101" s="119"/>
      <c r="K101" s="119"/>
      <c r="N101" s="113"/>
      <c r="V101" s="113"/>
      <c r="W101" s="113"/>
      <c r="X101" s="113"/>
      <c r="Y101" s="113"/>
      <c r="Z101" s="113"/>
      <c r="AA101" s="113"/>
      <c r="AB101" s="113"/>
      <c r="AC101" s="113"/>
      <c r="AD101" s="113"/>
    </row>
    <row r="102" spans="2:30" ht="15.75" customHeight="1">
      <c r="I102" s="119"/>
      <c r="J102" s="119"/>
      <c r="K102" s="119"/>
      <c r="L102" s="113"/>
      <c r="M102" s="124"/>
      <c r="N102" s="124"/>
      <c r="O102" s="124"/>
      <c r="P102" s="124"/>
      <c r="S102" s="113"/>
      <c r="T102" s="119"/>
      <c r="U102" s="113"/>
      <c r="V102" s="113"/>
      <c r="W102" s="113"/>
      <c r="X102" s="113"/>
      <c r="Y102" s="113"/>
      <c r="Z102" s="113"/>
      <c r="AA102" s="113"/>
      <c r="AB102" s="113"/>
      <c r="AC102" s="113"/>
      <c r="AD102" s="113"/>
    </row>
    <row r="103" spans="2:30" ht="15.75" customHeight="1">
      <c r="I103" s="119"/>
      <c r="J103" s="119"/>
      <c r="K103" s="119"/>
      <c r="L103" s="113"/>
      <c r="M103" s="124"/>
      <c r="N103" s="124"/>
      <c r="O103" s="124"/>
      <c r="P103" s="124"/>
      <c r="S103" s="113"/>
      <c r="T103" s="119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</row>
    <row r="104" spans="2:30" ht="15.75" customHeight="1">
      <c r="I104" s="119"/>
      <c r="J104" s="119"/>
      <c r="K104" s="119"/>
      <c r="L104" s="113"/>
      <c r="M104" s="124"/>
      <c r="N104" s="124"/>
      <c r="O104" s="124"/>
      <c r="P104" s="124"/>
      <c r="S104" s="113"/>
      <c r="T104" s="119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</row>
    <row r="105" spans="2:30" ht="15.75" customHeight="1">
      <c r="I105" s="119"/>
      <c r="J105" s="119"/>
      <c r="K105" s="119"/>
      <c r="L105" s="113"/>
      <c r="M105" s="124"/>
      <c r="N105" s="124"/>
      <c r="O105" s="124"/>
      <c r="P105" s="124"/>
      <c r="S105" s="113"/>
      <c r="T105" s="119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</row>
    <row r="106" spans="2:30" ht="15.75" customHeight="1">
      <c r="I106" s="119"/>
      <c r="J106" s="119"/>
      <c r="K106" s="119"/>
      <c r="L106" s="113"/>
      <c r="M106" s="124"/>
      <c r="N106" s="124"/>
      <c r="O106" s="124"/>
      <c r="P106" s="124"/>
      <c r="Q106" s="113"/>
      <c r="S106" s="113"/>
      <c r="T106" s="119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</row>
    <row r="107" spans="2:30" ht="15.75" customHeight="1">
      <c r="I107" s="119"/>
      <c r="J107" s="119"/>
      <c r="K107" s="119"/>
      <c r="L107" s="113"/>
      <c r="M107" s="124"/>
      <c r="N107" s="124"/>
      <c r="O107" s="124"/>
      <c r="P107" s="124"/>
      <c r="Q107" s="113"/>
      <c r="R107" s="119"/>
      <c r="S107" s="113"/>
      <c r="T107" s="119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</row>
    <row r="108" spans="2:30" ht="15.75" customHeight="1">
      <c r="I108" s="119"/>
      <c r="J108" s="119"/>
      <c r="K108" s="119"/>
      <c r="L108" s="113"/>
      <c r="M108" s="124"/>
      <c r="N108" s="124"/>
      <c r="O108" s="124"/>
      <c r="P108" s="124"/>
      <c r="Q108" s="113"/>
      <c r="R108" s="119"/>
      <c r="S108" s="113"/>
      <c r="T108" s="119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</row>
    <row r="109" spans="2:30" ht="15.75" customHeight="1">
      <c r="I109" s="119"/>
      <c r="J109" s="119"/>
      <c r="K109" s="119"/>
      <c r="L109" s="113"/>
      <c r="M109" s="124"/>
      <c r="N109" s="124"/>
      <c r="O109" s="124"/>
      <c r="P109" s="124"/>
      <c r="Q109" s="113"/>
      <c r="R109" s="119"/>
      <c r="S109" s="113"/>
      <c r="T109" s="119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</row>
    <row r="110" spans="2:30" ht="15.75" customHeight="1">
      <c r="I110" s="119"/>
      <c r="J110" s="119"/>
      <c r="K110" s="119"/>
      <c r="L110" s="113"/>
      <c r="M110" s="124"/>
      <c r="N110" s="124"/>
      <c r="O110" s="124"/>
      <c r="P110" s="124"/>
      <c r="Q110" s="113"/>
      <c r="R110" s="119"/>
      <c r="S110" s="113"/>
      <c r="T110" s="119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</row>
    <row r="111" spans="2:30" ht="15.75" customHeight="1">
      <c r="I111" s="119"/>
      <c r="J111" s="119"/>
      <c r="K111" s="119"/>
      <c r="L111" s="113"/>
      <c r="M111" s="124"/>
      <c r="N111" s="124"/>
      <c r="O111" s="124"/>
      <c r="P111" s="124"/>
      <c r="Q111" s="113"/>
      <c r="R111" s="119"/>
      <c r="S111" s="113"/>
      <c r="T111" s="119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</row>
    <row r="112" spans="2:30" ht="15.75" customHeight="1">
      <c r="I112" s="119"/>
      <c r="J112" s="119"/>
      <c r="K112" s="119"/>
      <c r="L112" s="113"/>
      <c r="M112" s="124"/>
      <c r="N112" s="124"/>
      <c r="O112" s="124"/>
      <c r="P112" s="124"/>
      <c r="Q112" s="113"/>
      <c r="R112" s="119"/>
      <c r="S112" s="113"/>
      <c r="T112" s="119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</row>
    <row r="113" spans="6:30" ht="15.75" customHeight="1">
      <c r="I113" s="119"/>
      <c r="J113" s="119"/>
      <c r="K113" s="119"/>
      <c r="L113" s="113"/>
      <c r="M113" s="124"/>
      <c r="N113" s="124"/>
      <c r="O113" s="124"/>
      <c r="P113" s="124"/>
      <c r="Q113" s="113"/>
      <c r="R113" s="119"/>
      <c r="S113" s="113"/>
      <c r="T113" s="119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</row>
    <row r="114" spans="6:30" ht="15.75" customHeight="1">
      <c r="F114" s="119"/>
      <c r="G114" s="119"/>
      <c r="H114" s="119"/>
      <c r="I114" s="119"/>
      <c r="J114" s="119"/>
      <c r="K114" s="119"/>
      <c r="L114" s="113"/>
      <c r="M114" s="124"/>
      <c r="N114" s="124"/>
      <c r="O114" s="124"/>
      <c r="P114" s="124"/>
      <c r="Q114" s="113"/>
      <c r="R114" s="119"/>
      <c r="S114" s="113"/>
      <c r="T114" s="119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</row>
    <row r="115" spans="6:30" ht="15.75" customHeight="1">
      <c r="F115" s="119"/>
      <c r="G115" s="119"/>
      <c r="H115" s="119"/>
      <c r="I115" s="119"/>
      <c r="J115" s="119"/>
      <c r="K115" s="119"/>
      <c r="L115" s="113"/>
      <c r="M115" s="113"/>
      <c r="N115" s="119"/>
      <c r="O115" s="119"/>
      <c r="P115" s="113"/>
      <c r="Q115" s="113"/>
      <c r="R115" s="119"/>
      <c r="S115" s="113"/>
      <c r="T115" s="119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</row>
    <row r="116" spans="6:30" ht="15.75" customHeight="1">
      <c r="F116" s="119"/>
      <c r="G116" s="119"/>
      <c r="H116" s="119"/>
      <c r="I116" s="119"/>
      <c r="J116" s="119"/>
      <c r="K116" s="119"/>
      <c r="L116" s="113"/>
      <c r="M116" s="113"/>
      <c r="N116" s="119"/>
      <c r="O116" s="119"/>
      <c r="P116" s="113"/>
      <c r="Q116" s="113"/>
      <c r="R116" s="119"/>
      <c r="S116" s="113"/>
      <c r="T116" s="119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</row>
    <row r="117" spans="6:30" ht="15.75" customHeight="1">
      <c r="F117" s="119"/>
      <c r="G117" s="119"/>
      <c r="H117" s="119"/>
      <c r="I117" s="119"/>
      <c r="J117" s="119"/>
      <c r="K117" s="119"/>
      <c r="L117" s="113"/>
      <c r="M117" s="113"/>
      <c r="N117" s="119"/>
      <c r="O117" s="119"/>
      <c r="P117" s="113"/>
      <c r="Q117" s="113"/>
      <c r="R117" s="119"/>
      <c r="S117" s="113"/>
      <c r="T117" s="119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</row>
    <row r="118" spans="6:30" ht="15.75" customHeight="1">
      <c r="F118" s="119"/>
      <c r="G118" s="119"/>
      <c r="H118" s="119"/>
      <c r="I118" s="119"/>
      <c r="J118" s="119"/>
      <c r="K118" s="119"/>
      <c r="L118" s="113"/>
      <c r="M118" s="113"/>
      <c r="N118" s="119"/>
      <c r="O118" s="119"/>
      <c r="P118" s="113"/>
      <c r="Q118" s="113"/>
      <c r="R118" s="119"/>
      <c r="S118" s="113"/>
      <c r="T118" s="119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</row>
    <row r="119" spans="6:30" ht="15.75" customHeight="1">
      <c r="F119" s="119"/>
      <c r="G119" s="119"/>
      <c r="H119" s="119"/>
      <c r="I119" s="119"/>
      <c r="J119" s="119"/>
      <c r="K119" s="119"/>
      <c r="L119" s="113"/>
      <c r="M119" s="113"/>
      <c r="N119" s="119"/>
      <c r="O119" s="119"/>
      <c r="P119" s="113"/>
      <c r="Q119" s="113"/>
      <c r="R119" s="119"/>
      <c r="S119" s="113"/>
      <c r="T119" s="119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</row>
    <row r="120" spans="6:30" ht="15.75" customHeight="1">
      <c r="F120" s="119"/>
      <c r="G120" s="119"/>
      <c r="H120" s="119"/>
      <c r="I120" s="119"/>
      <c r="J120" s="119"/>
      <c r="K120" s="119"/>
      <c r="L120" s="113"/>
      <c r="M120" s="113"/>
      <c r="N120" s="119"/>
      <c r="O120" s="119"/>
      <c r="P120" s="113"/>
      <c r="Q120" s="113"/>
      <c r="R120" s="119"/>
      <c r="S120" s="113"/>
      <c r="T120" s="119"/>
      <c r="U120" s="113"/>
      <c r="V120" s="113"/>
      <c r="W120" s="113"/>
      <c r="X120" s="113"/>
      <c r="Y120" s="113"/>
      <c r="Z120" s="113"/>
      <c r="AA120" s="113"/>
      <c r="AB120" s="113"/>
      <c r="AC120" s="113"/>
      <c r="AD120" s="113"/>
    </row>
    <row r="121" spans="6:30" ht="15.75" customHeight="1">
      <c r="F121" s="119"/>
      <c r="G121" s="119"/>
      <c r="H121" s="119"/>
      <c r="I121" s="119"/>
      <c r="J121" s="119"/>
      <c r="K121" s="119"/>
      <c r="L121" s="113"/>
      <c r="M121" s="113"/>
      <c r="N121" s="119"/>
      <c r="O121" s="119"/>
      <c r="P121" s="113"/>
      <c r="Q121" s="113"/>
      <c r="R121" s="119"/>
      <c r="S121" s="113"/>
      <c r="T121" s="119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3"/>
    </row>
    <row r="122" spans="6:30" ht="15.75" customHeight="1">
      <c r="F122" s="119"/>
      <c r="G122" s="119"/>
      <c r="H122" s="119"/>
      <c r="I122" s="119"/>
      <c r="J122" s="119"/>
      <c r="K122" s="119"/>
      <c r="L122" s="113"/>
      <c r="M122" s="113"/>
      <c r="N122" s="119"/>
      <c r="O122" s="119"/>
      <c r="P122" s="113"/>
      <c r="Q122" s="113"/>
      <c r="R122" s="119"/>
      <c r="S122" s="113"/>
      <c r="T122" s="119"/>
      <c r="U122" s="113"/>
      <c r="V122" s="113"/>
      <c r="W122" s="113"/>
      <c r="X122" s="113"/>
      <c r="Y122" s="113"/>
      <c r="Z122" s="113"/>
      <c r="AA122" s="113"/>
      <c r="AB122" s="113"/>
      <c r="AC122" s="113"/>
      <c r="AD122" s="113"/>
    </row>
    <row r="123" spans="6:30" ht="15.75" customHeight="1">
      <c r="F123" s="119"/>
      <c r="G123" s="119"/>
      <c r="H123" s="119"/>
      <c r="I123" s="119"/>
      <c r="J123" s="119"/>
      <c r="K123" s="119"/>
      <c r="L123" s="113"/>
      <c r="M123" s="113"/>
      <c r="N123" s="119"/>
      <c r="O123" s="119"/>
      <c r="P123" s="113"/>
      <c r="Q123" s="113"/>
      <c r="R123" s="119"/>
      <c r="S123" s="113"/>
      <c r="T123" s="119"/>
      <c r="U123" s="113"/>
      <c r="V123" s="113"/>
      <c r="W123" s="113"/>
      <c r="X123" s="113"/>
      <c r="Y123" s="113"/>
      <c r="Z123" s="113"/>
      <c r="AA123" s="113"/>
      <c r="AB123" s="113"/>
      <c r="AC123" s="113"/>
      <c r="AD123" s="113"/>
    </row>
    <row r="124" spans="6:30" ht="15.75" customHeight="1">
      <c r="F124" s="119"/>
      <c r="G124" s="119"/>
      <c r="H124" s="119"/>
      <c r="I124" s="119"/>
      <c r="J124" s="119"/>
      <c r="K124" s="119"/>
      <c r="L124" s="113"/>
      <c r="M124" s="113"/>
      <c r="N124" s="119"/>
      <c r="O124" s="119"/>
      <c r="P124" s="113"/>
      <c r="Q124" s="113"/>
      <c r="R124" s="119"/>
      <c r="S124" s="113"/>
      <c r="T124" s="119"/>
      <c r="U124" s="113"/>
      <c r="V124" s="113"/>
      <c r="W124" s="113"/>
      <c r="X124" s="113"/>
      <c r="Y124" s="113"/>
      <c r="Z124" s="113"/>
      <c r="AA124" s="113"/>
      <c r="AB124" s="113"/>
      <c r="AC124" s="113"/>
      <c r="AD124" s="113"/>
    </row>
    <row r="125" spans="6:30" ht="15.75" customHeight="1">
      <c r="F125" s="119"/>
      <c r="G125" s="119"/>
      <c r="H125" s="119"/>
      <c r="I125" s="119"/>
      <c r="J125" s="119"/>
      <c r="K125" s="119"/>
      <c r="L125" s="113"/>
      <c r="M125" s="113"/>
      <c r="N125" s="119"/>
      <c r="O125" s="119"/>
      <c r="P125" s="113"/>
      <c r="Q125" s="113"/>
      <c r="R125" s="119"/>
      <c r="S125" s="113"/>
      <c r="T125" s="119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3"/>
    </row>
    <row r="126" spans="6:30" ht="15.75" customHeight="1">
      <c r="F126" s="119"/>
      <c r="G126" s="119"/>
      <c r="H126" s="119"/>
      <c r="I126" s="119"/>
      <c r="J126" s="119"/>
      <c r="K126" s="119"/>
      <c r="L126" s="113"/>
      <c r="M126" s="113"/>
      <c r="N126" s="119"/>
      <c r="O126" s="119"/>
      <c r="P126" s="113"/>
      <c r="Q126" s="113"/>
      <c r="R126" s="119"/>
      <c r="S126" s="113"/>
      <c r="T126" s="119"/>
      <c r="U126" s="113"/>
      <c r="V126" s="113"/>
      <c r="W126" s="113"/>
      <c r="X126" s="113"/>
      <c r="Y126" s="113"/>
      <c r="Z126" s="113"/>
      <c r="AA126" s="113"/>
      <c r="AB126" s="113"/>
      <c r="AC126" s="113"/>
      <c r="AD126" s="113"/>
    </row>
    <row r="127" spans="6:30" ht="15.75" customHeight="1">
      <c r="F127" s="119"/>
      <c r="G127" s="119"/>
      <c r="H127" s="119"/>
      <c r="I127" s="119"/>
      <c r="J127" s="119"/>
      <c r="K127" s="119"/>
      <c r="L127" s="113"/>
      <c r="M127" s="113"/>
      <c r="N127" s="119"/>
      <c r="O127" s="119"/>
      <c r="P127" s="113"/>
      <c r="Q127" s="113"/>
      <c r="R127" s="119"/>
      <c r="S127" s="113"/>
      <c r="T127" s="119"/>
      <c r="U127" s="113"/>
      <c r="V127" s="113"/>
      <c r="W127" s="113"/>
      <c r="X127" s="113"/>
      <c r="Y127" s="113"/>
      <c r="Z127" s="113"/>
      <c r="AA127" s="113"/>
      <c r="AB127" s="113"/>
      <c r="AC127" s="113"/>
      <c r="AD127" s="113"/>
    </row>
    <row r="128" spans="6:30" ht="15.75" customHeight="1">
      <c r="F128" s="119"/>
      <c r="G128" s="119"/>
      <c r="H128" s="119"/>
      <c r="I128" s="119"/>
      <c r="J128" s="119"/>
      <c r="K128" s="119"/>
      <c r="L128" s="113"/>
      <c r="M128" s="113"/>
      <c r="N128" s="119"/>
      <c r="O128" s="119"/>
      <c r="P128" s="113"/>
      <c r="Q128" s="113"/>
      <c r="R128" s="119"/>
      <c r="S128" s="113"/>
      <c r="T128" s="119"/>
      <c r="U128" s="113"/>
      <c r="V128" s="113"/>
      <c r="W128" s="113"/>
      <c r="X128" s="113"/>
      <c r="Y128" s="113"/>
      <c r="Z128" s="113"/>
      <c r="AA128" s="113"/>
      <c r="AB128" s="113"/>
      <c r="AC128" s="113"/>
      <c r="AD128" s="113"/>
    </row>
    <row r="129" spans="2:30" ht="15.75" customHeight="1">
      <c r="F129" s="119"/>
      <c r="G129" s="119"/>
      <c r="H129" s="119"/>
      <c r="I129" s="119"/>
      <c r="J129" s="119"/>
      <c r="K129" s="119"/>
      <c r="L129" s="113"/>
      <c r="M129" s="113"/>
      <c r="N129" s="119"/>
      <c r="O129" s="119"/>
      <c r="P129" s="113"/>
      <c r="Q129" s="113"/>
      <c r="R129" s="119"/>
      <c r="S129" s="113"/>
      <c r="T129" s="119"/>
      <c r="U129" s="113"/>
      <c r="V129" s="113"/>
      <c r="W129" s="113"/>
      <c r="X129" s="113"/>
      <c r="Y129" s="113"/>
      <c r="Z129" s="113"/>
      <c r="AA129" s="113"/>
      <c r="AB129" s="113"/>
      <c r="AC129" s="113"/>
      <c r="AD129" s="113"/>
    </row>
    <row r="130" spans="2:30" ht="15.75" customHeight="1">
      <c r="F130" s="119"/>
      <c r="G130" s="119"/>
      <c r="H130" s="119"/>
      <c r="I130" s="119"/>
      <c r="J130" s="119"/>
      <c r="K130" s="119"/>
      <c r="L130" s="113"/>
      <c r="M130" s="113"/>
      <c r="N130" s="119"/>
      <c r="O130" s="119"/>
      <c r="P130" s="113"/>
      <c r="Q130" s="113"/>
      <c r="R130" s="119"/>
      <c r="S130" s="113"/>
      <c r="T130" s="119"/>
      <c r="U130" s="113"/>
      <c r="V130" s="113"/>
      <c r="W130" s="113"/>
      <c r="X130" s="113"/>
      <c r="Y130" s="113"/>
      <c r="Z130" s="113"/>
      <c r="AA130" s="113"/>
      <c r="AB130" s="113"/>
      <c r="AC130" s="113"/>
      <c r="AD130" s="113"/>
    </row>
    <row r="131" spans="2:30" ht="15.75" customHeight="1">
      <c r="F131" s="119"/>
      <c r="G131" s="119"/>
      <c r="H131" s="119"/>
      <c r="I131" s="119"/>
      <c r="J131" s="119"/>
      <c r="K131" s="119"/>
      <c r="L131" s="113"/>
      <c r="M131" s="113"/>
      <c r="N131" s="119"/>
      <c r="O131" s="119"/>
      <c r="P131" s="113"/>
      <c r="Q131" s="113"/>
      <c r="R131" s="119"/>
      <c r="S131" s="113"/>
      <c r="T131" s="119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</row>
    <row r="132" spans="2:30" ht="15.75" customHeight="1">
      <c r="E132" s="119"/>
      <c r="F132" s="119"/>
      <c r="G132" s="119"/>
      <c r="H132" s="119"/>
      <c r="I132" s="119"/>
      <c r="J132" s="119"/>
      <c r="K132" s="119"/>
      <c r="L132" s="113"/>
      <c r="M132" s="113"/>
      <c r="N132" s="119"/>
      <c r="O132" s="119"/>
      <c r="P132" s="113"/>
      <c r="Q132" s="113"/>
      <c r="R132" s="119"/>
      <c r="S132" s="113"/>
      <c r="T132" s="119"/>
      <c r="U132" s="113"/>
      <c r="V132" s="113"/>
      <c r="W132" s="113"/>
      <c r="X132" s="113"/>
      <c r="Y132" s="113"/>
      <c r="Z132" s="113"/>
      <c r="AA132" s="113"/>
      <c r="AB132" s="113"/>
      <c r="AC132" s="113"/>
      <c r="AD132" s="113"/>
    </row>
    <row r="133" spans="2:30" ht="15.75" customHeight="1">
      <c r="E133" s="119"/>
      <c r="F133" s="119"/>
      <c r="G133" s="119"/>
      <c r="H133" s="119"/>
      <c r="I133" s="119"/>
      <c r="J133" s="119"/>
      <c r="K133" s="119"/>
      <c r="L133" s="113"/>
      <c r="M133" s="113"/>
      <c r="N133" s="119"/>
      <c r="O133" s="119"/>
      <c r="P133" s="113"/>
      <c r="Q133" s="113"/>
      <c r="R133" s="119"/>
      <c r="S133" s="113"/>
      <c r="T133" s="119"/>
      <c r="U133" s="113"/>
      <c r="V133" s="113"/>
      <c r="W133" s="113"/>
      <c r="X133" s="113"/>
      <c r="Y133" s="113"/>
      <c r="Z133" s="113"/>
      <c r="AA133" s="113"/>
      <c r="AB133" s="113"/>
      <c r="AC133" s="113"/>
      <c r="AD133" s="113"/>
    </row>
    <row r="134" spans="2:30" ht="15.75" customHeight="1">
      <c r="C134" s="119"/>
      <c r="D134" s="119"/>
      <c r="E134" s="119"/>
      <c r="F134" s="119"/>
      <c r="G134" s="119"/>
      <c r="H134" s="119"/>
      <c r="I134" s="119"/>
      <c r="J134" s="119"/>
      <c r="K134" s="119"/>
      <c r="L134" s="113"/>
      <c r="M134" s="113"/>
      <c r="N134" s="119"/>
      <c r="O134" s="119"/>
      <c r="P134" s="113"/>
      <c r="Q134" s="113"/>
      <c r="R134" s="119"/>
      <c r="S134" s="113"/>
      <c r="T134" s="119"/>
      <c r="U134" s="113"/>
      <c r="V134" s="113"/>
      <c r="W134" s="113"/>
      <c r="X134" s="113"/>
      <c r="Y134" s="113"/>
      <c r="Z134" s="113"/>
      <c r="AA134" s="113"/>
      <c r="AB134" s="113"/>
      <c r="AC134" s="113"/>
      <c r="AD134" s="113"/>
    </row>
    <row r="135" spans="2:30" ht="15.75" customHeight="1">
      <c r="C135" s="119"/>
      <c r="D135" s="119"/>
      <c r="E135" s="119"/>
      <c r="F135" s="119"/>
      <c r="G135" s="119"/>
      <c r="H135" s="119"/>
      <c r="I135" s="119"/>
      <c r="J135" s="119"/>
      <c r="K135" s="119"/>
      <c r="L135" s="113"/>
      <c r="M135" s="113"/>
      <c r="N135" s="119"/>
      <c r="O135" s="119"/>
      <c r="P135" s="113"/>
      <c r="Q135" s="113"/>
      <c r="R135" s="119"/>
      <c r="S135" s="113"/>
      <c r="T135" s="119"/>
      <c r="U135" s="113"/>
      <c r="V135" s="113"/>
      <c r="W135" s="113"/>
      <c r="X135" s="113"/>
      <c r="Y135" s="113"/>
      <c r="Z135" s="113"/>
      <c r="AA135" s="113"/>
      <c r="AB135" s="113"/>
      <c r="AC135" s="113"/>
      <c r="AD135" s="113"/>
    </row>
    <row r="136" spans="2:30" ht="15.75" customHeight="1">
      <c r="C136" s="119"/>
      <c r="D136" s="119"/>
      <c r="E136" s="119"/>
      <c r="F136" s="119"/>
      <c r="G136" s="119"/>
      <c r="H136" s="119"/>
      <c r="I136" s="119"/>
      <c r="J136" s="119"/>
      <c r="K136" s="119"/>
      <c r="L136" s="113"/>
      <c r="M136" s="113"/>
      <c r="N136" s="119"/>
      <c r="O136" s="119"/>
      <c r="P136" s="113"/>
      <c r="Q136" s="113"/>
      <c r="R136" s="119"/>
      <c r="S136" s="113"/>
      <c r="T136" s="119"/>
      <c r="U136" s="113"/>
      <c r="V136" s="113"/>
      <c r="W136" s="113"/>
      <c r="X136" s="113"/>
      <c r="Y136" s="113"/>
      <c r="Z136" s="113"/>
      <c r="AA136" s="113"/>
      <c r="AB136" s="113"/>
      <c r="AC136" s="113"/>
      <c r="AD136" s="113"/>
    </row>
    <row r="137" spans="2:30" ht="15.75" customHeight="1">
      <c r="C137" s="119"/>
      <c r="D137" s="119"/>
      <c r="E137" s="119"/>
      <c r="F137" s="119"/>
      <c r="G137" s="119"/>
      <c r="H137" s="119"/>
      <c r="I137" s="119"/>
      <c r="J137" s="119"/>
      <c r="K137" s="119"/>
      <c r="L137" s="113"/>
      <c r="M137" s="113"/>
      <c r="N137" s="119"/>
      <c r="O137" s="119"/>
      <c r="P137" s="113"/>
      <c r="Q137" s="113"/>
      <c r="R137" s="119"/>
      <c r="S137" s="113"/>
      <c r="T137" s="119"/>
      <c r="U137" s="113"/>
      <c r="V137" s="113"/>
      <c r="W137" s="113"/>
      <c r="X137" s="113"/>
      <c r="Y137" s="113"/>
      <c r="Z137" s="113"/>
      <c r="AA137" s="113"/>
      <c r="AB137" s="113"/>
      <c r="AC137" s="113"/>
      <c r="AD137" s="113"/>
    </row>
    <row r="138" spans="2:30" ht="15.75" customHeight="1">
      <c r="C138" s="119"/>
      <c r="D138" s="119"/>
      <c r="E138" s="119"/>
      <c r="F138" s="119"/>
      <c r="G138" s="119"/>
      <c r="H138" s="119"/>
      <c r="I138" s="119"/>
      <c r="J138" s="119"/>
      <c r="K138" s="119"/>
      <c r="L138" s="113"/>
      <c r="M138" s="113"/>
      <c r="N138" s="119"/>
      <c r="O138" s="119"/>
      <c r="P138" s="113"/>
      <c r="Q138" s="113"/>
      <c r="R138" s="119"/>
      <c r="S138" s="113"/>
      <c r="T138" s="119"/>
      <c r="U138" s="113"/>
      <c r="V138" s="113"/>
      <c r="W138" s="113"/>
      <c r="X138" s="113"/>
      <c r="Y138" s="113"/>
      <c r="Z138" s="113"/>
      <c r="AA138" s="113"/>
      <c r="AB138" s="113"/>
      <c r="AC138" s="113"/>
      <c r="AD138" s="113"/>
    </row>
    <row r="139" spans="2:30" ht="15.75" customHeight="1">
      <c r="C139" s="119"/>
      <c r="D139" s="119"/>
      <c r="E139" s="119"/>
      <c r="F139" s="119"/>
      <c r="G139" s="119"/>
      <c r="H139" s="119"/>
      <c r="I139" s="119"/>
      <c r="J139" s="119"/>
      <c r="K139" s="119"/>
      <c r="L139" s="113"/>
      <c r="M139" s="113"/>
      <c r="N139" s="119"/>
      <c r="O139" s="119"/>
      <c r="P139" s="113"/>
      <c r="Q139" s="113"/>
      <c r="R139" s="119"/>
      <c r="S139" s="113"/>
      <c r="T139" s="119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</row>
    <row r="140" spans="2:30" ht="15.75" customHeight="1">
      <c r="C140" s="119"/>
      <c r="D140" s="119"/>
      <c r="E140" s="119"/>
      <c r="F140" s="119"/>
      <c r="G140" s="119"/>
      <c r="H140" s="119"/>
      <c r="I140" s="119"/>
      <c r="J140" s="119"/>
      <c r="K140" s="119"/>
      <c r="L140" s="113"/>
      <c r="M140" s="113"/>
      <c r="N140" s="119"/>
      <c r="O140" s="119"/>
      <c r="P140" s="113"/>
      <c r="Q140" s="113"/>
      <c r="R140" s="119"/>
      <c r="S140" s="113"/>
      <c r="T140" s="119"/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3"/>
    </row>
    <row r="141" spans="2:30" ht="15.75" customHeight="1">
      <c r="B141" s="113"/>
      <c r="C141" s="119"/>
      <c r="D141" s="119"/>
      <c r="E141" s="119"/>
      <c r="F141" s="119"/>
      <c r="G141" s="119"/>
      <c r="H141" s="119"/>
      <c r="I141" s="119"/>
      <c r="J141" s="119"/>
      <c r="K141" s="119"/>
      <c r="L141" s="113"/>
      <c r="M141" s="113"/>
      <c r="N141" s="119"/>
      <c r="O141" s="119"/>
      <c r="P141" s="113"/>
      <c r="Q141" s="113"/>
      <c r="R141" s="119"/>
      <c r="S141" s="113"/>
      <c r="T141" s="119"/>
      <c r="U141" s="113"/>
      <c r="V141" s="113"/>
      <c r="W141" s="113"/>
      <c r="X141" s="113"/>
      <c r="Y141" s="113"/>
      <c r="Z141" s="113"/>
      <c r="AA141" s="113"/>
      <c r="AB141" s="113"/>
      <c r="AC141" s="113"/>
      <c r="AD141" s="113"/>
    </row>
    <row r="142" spans="2:30" ht="15.75" customHeight="1">
      <c r="B142" s="113"/>
      <c r="C142" s="119"/>
      <c r="D142" s="119"/>
      <c r="E142" s="119"/>
      <c r="F142" s="119"/>
      <c r="G142" s="119"/>
      <c r="H142" s="119"/>
      <c r="I142" s="119"/>
      <c r="J142" s="119"/>
      <c r="K142" s="119"/>
      <c r="L142" s="113"/>
      <c r="M142" s="113"/>
      <c r="N142" s="119"/>
      <c r="O142" s="119"/>
      <c r="P142" s="113"/>
      <c r="Q142" s="113"/>
      <c r="R142" s="119"/>
      <c r="S142" s="113"/>
      <c r="T142" s="119"/>
      <c r="U142" s="113"/>
      <c r="V142" s="113"/>
      <c r="W142" s="113"/>
      <c r="X142" s="113"/>
      <c r="Y142" s="113"/>
      <c r="Z142" s="113"/>
      <c r="AA142" s="113"/>
      <c r="AB142" s="113"/>
      <c r="AC142" s="113"/>
      <c r="AD142" s="113"/>
    </row>
    <row r="143" spans="2:30" ht="15.75" customHeight="1">
      <c r="B143" s="113"/>
      <c r="C143" s="119"/>
      <c r="D143" s="119"/>
      <c r="E143" s="119"/>
      <c r="F143" s="119"/>
      <c r="G143" s="119"/>
      <c r="H143" s="119"/>
      <c r="I143" s="119"/>
      <c r="J143" s="119"/>
      <c r="K143" s="119"/>
      <c r="L143" s="113"/>
      <c r="M143" s="113"/>
      <c r="N143" s="119"/>
      <c r="O143" s="119"/>
      <c r="P143" s="113"/>
      <c r="Q143" s="113"/>
      <c r="R143" s="119"/>
      <c r="S143" s="113"/>
      <c r="T143" s="119"/>
      <c r="U143" s="113"/>
      <c r="V143" s="113"/>
      <c r="W143" s="113"/>
      <c r="X143" s="113"/>
      <c r="Y143" s="113"/>
      <c r="Z143" s="113"/>
      <c r="AA143" s="113"/>
      <c r="AB143" s="113"/>
      <c r="AC143" s="113"/>
      <c r="AD143" s="113"/>
    </row>
    <row r="144" spans="2:30" ht="15.75" customHeight="1">
      <c r="B144" s="113"/>
      <c r="C144" s="119"/>
      <c r="D144" s="119"/>
      <c r="E144" s="119"/>
      <c r="F144" s="119"/>
      <c r="G144" s="119"/>
      <c r="H144" s="119"/>
      <c r="I144" s="119"/>
      <c r="J144" s="119"/>
      <c r="K144" s="119"/>
      <c r="L144" s="113"/>
      <c r="M144" s="113"/>
      <c r="N144" s="119"/>
      <c r="O144" s="119"/>
      <c r="P144" s="113"/>
      <c r="Q144" s="113"/>
      <c r="R144" s="119"/>
      <c r="S144" s="113"/>
      <c r="T144" s="119"/>
      <c r="U144" s="113"/>
      <c r="V144" s="113"/>
      <c r="W144" s="113"/>
      <c r="X144" s="113"/>
      <c r="Y144" s="113"/>
      <c r="Z144" s="113"/>
      <c r="AA144" s="113"/>
      <c r="AB144" s="113"/>
      <c r="AC144" s="113"/>
      <c r="AD144" s="113"/>
    </row>
    <row r="145" spans="2:30" ht="15.75" customHeight="1">
      <c r="B145" s="113"/>
      <c r="C145" s="119"/>
      <c r="D145" s="119"/>
      <c r="E145" s="119"/>
      <c r="F145" s="119"/>
      <c r="G145" s="119"/>
      <c r="H145" s="119"/>
      <c r="I145" s="119"/>
      <c r="J145" s="119"/>
      <c r="K145" s="119"/>
      <c r="L145" s="113"/>
      <c r="M145" s="113"/>
      <c r="N145" s="119"/>
      <c r="O145" s="119"/>
      <c r="P145" s="113"/>
      <c r="Q145" s="113"/>
      <c r="R145" s="119"/>
      <c r="S145" s="113"/>
      <c r="T145" s="119"/>
      <c r="U145" s="113"/>
      <c r="V145" s="113"/>
      <c r="W145" s="113"/>
      <c r="X145" s="113"/>
      <c r="Y145" s="113"/>
      <c r="Z145" s="113"/>
      <c r="AA145" s="113"/>
      <c r="AB145" s="113"/>
      <c r="AC145" s="113"/>
      <c r="AD145" s="113"/>
    </row>
    <row r="146" spans="2:30" ht="15.75" customHeight="1">
      <c r="B146" s="113"/>
      <c r="C146" s="119"/>
      <c r="D146" s="119"/>
      <c r="E146" s="119"/>
      <c r="F146" s="119"/>
      <c r="G146" s="119"/>
      <c r="H146" s="119"/>
      <c r="I146" s="119"/>
      <c r="J146" s="119"/>
      <c r="K146" s="119"/>
      <c r="L146" s="113"/>
      <c r="M146" s="113"/>
      <c r="N146" s="119"/>
      <c r="O146" s="119"/>
      <c r="P146" s="113"/>
      <c r="Q146" s="113"/>
      <c r="R146" s="119"/>
      <c r="S146" s="113"/>
      <c r="T146" s="119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</row>
    <row r="147" spans="2:30" ht="15.75" customHeight="1">
      <c r="B147" s="113"/>
      <c r="C147" s="119"/>
      <c r="D147" s="119"/>
      <c r="E147" s="119"/>
      <c r="F147" s="119"/>
      <c r="G147" s="119"/>
      <c r="H147" s="119"/>
      <c r="I147" s="119"/>
      <c r="J147" s="119"/>
      <c r="K147" s="119"/>
      <c r="L147" s="113"/>
      <c r="M147" s="113"/>
      <c r="N147" s="119"/>
      <c r="O147" s="119"/>
      <c r="P147" s="113"/>
      <c r="Q147" s="113"/>
      <c r="R147" s="119"/>
      <c r="S147" s="113"/>
      <c r="T147" s="119"/>
      <c r="U147" s="113"/>
      <c r="V147" s="113"/>
      <c r="W147" s="113"/>
      <c r="X147" s="113"/>
      <c r="Y147" s="113"/>
      <c r="Z147" s="113"/>
      <c r="AA147" s="113"/>
      <c r="AB147" s="113"/>
      <c r="AC147" s="113"/>
      <c r="AD147" s="113"/>
    </row>
    <row r="148" spans="2:30" ht="15.75" customHeight="1">
      <c r="B148" s="113"/>
      <c r="C148" s="119"/>
      <c r="D148" s="119"/>
      <c r="E148" s="119"/>
      <c r="F148" s="119"/>
      <c r="G148" s="119"/>
      <c r="H148" s="119"/>
      <c r="I148" s="119"/>
      <c r="J148" s="119"/>
      <c r="K148" s="119"/>
      <c r="L148" s="113"/>
      <c r="M148" s="113"/>
      <c r="N148" s="119"/>
      <c r="O148" s="119"/>
      <c r="P148" s="113"/>
      <c r="Q148" s="113"/>
      <c r="R148" s="119"/>
      <c r="S148" s="113"/>
      <c r="T148" s="119"/>
      <c r="U148" s="113"/>
      <c r="V148" s="113"/>
      <c r="W148" s="113"/>
      <c r="X148" s="113"/>
      <c r="Y148" s="113"/>
      <c r="Z148" s="113"/>
      <c r="AA148" s="113"/>
      <c r="AB148" s="113"/>
      <c r="AC148" s="113"/>
      <c r="AD148" s="113"/>
    </row>
    <row r="149" spans="2:30" ht="15.75" customHeight="1">
      <c r="B149" s="113"/>
      <c r="C149" s="119"/>
      <c r="D149" s="119"/>
      <c r="E149" s="119"/>
      <c r="F149" s="119"/>
      <c r="G149" s="119"/>
      <c r="H149" s="119"/>
      <c r="I149" s="119"/>
      <c r="J149" s="119"/>
      <c r="K149" s="119"/>
      <c r="L149" s="113"/>
      <c r="M149" s="113"/>
      <c r="N149" s="119"/>
      <c r="O149" s="119"/>
      <c r="P149" s="113"/>
      <c r="Q149" s="113"/>
      <c r="R149" s="119"/>
      <c r="S149" s="113"/>
      <c r="T149" s="119"/>
      <c r="U149" s="113"/>
      <c r="V149" s="113"/>
      <c r="W149" s="113"/>
      <c r="X149" s="113"/>
      <c r="Y149" s="113"/>
      <c r="Z149" s="113"/>
      <c r="AA149" s="113"/>
      <c r="AB149" s="113"/>
      <c r="AC149" s="113"/>
      <c r="AD149" s="113"/>
    </row>
    <row r="150" spans="2:30" ht="15.75" customHeight="1">
      <c r="B150" s="113"/>
      <c r="C150" s="119"/>
      <c r="D150" s="119"/>
      <c r="E150" s="119"/>
      <c r="F150" s="119"/>
      <c r="G150" s="119"/>
      <c r="H150" s="119"/>
      <c r="I150" s="119"/>
      <c r="J150" s="119"/>
      <c r="K150" s="119"/>
      <c r="L150" s="113"/>
      <c r="M150" s="113"/>
      <c r="N150" s="119"/>
      <c r="O150" s="119"/>
      <c r="P150" s="113"/>
      <c r="Q150" s="113"/>
      <c r="R150" s="119"/>
      <c r="S150" s="113"/>
      <c r="T150" s="119"/>
      <c r="U150" s="113"/>
      <c r="V150" s="113"/>
      <c r="W150" s="113"/>
      <c r="X150" s="113"/>
      <c r="Y150" s="113"/>
      <c r="Z150" s="113"/>
      <c r="AA150" s="113"/>
      <c r="AB150" s="113"/>
      <c r="AC150" s="113"/>
      <c r="AD150" s="113"/>
    </row>
    <row r="151" spans="2:30" ht="15.75" customHeight="1">
      <c r="B151" s="113"/>
      <c r="C151" s="119"/>
      <c r="D151" s="119"/>
      <c r="E151" s="119"/>
      <c r="F151" s="119"/>
      <c r="G151" s="119"/>
      <c r="H151" s="119"/>
      <c r="I151" s="119"/>
      <c r="J151" s="119"/>
      <c r="K151" s="119"/>
      <c r="L151" s="113"/>
      <c r="M151" s="113"/>
      <c r="N151" s="119"/>
      <c r="O151" s="119"/>
      <c r="P151" s="113"/>
      <c r="Q151" s="113"/>
      <c r="R151" s="119"/>
      <c r="S151" s="113"/>
      <c r="T151" s="119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13"/>
    </row>
    <row r="152" spans="2:30" ht="15.75" customHeight="1">
      <c r="B152" s="113"/>
      <c r="C152" s="119"/>
      <c r="D152" s="119"/>
      <c r="E152" s="119"/>
      <c r="F152" s="119"/>
      <c r="G152" s="119"/>
      <c r="H152" s="119"/>
      <c r="I152" s="119"/>
      <c r="J152" s="119"/>
      <c r="K152" s="119"/>
      <c r="L152" s="113"/>
      <c r="M152" s="113"/>
      <c r="N152" s="119"/>
      <c r="O152" s="119"/>
      <c r="P152" s="113"/>
      <c r="Q152" s="113"/>
      <c r="R152" s="119"/>
      <c r="S152" s="113"/>
      <c r="T152" s="119"/>
      <c r="U152" s="113"/>
      <c r="V152" s="113"/>
      <c r="W152" s="113"/>
      <c r="X152" s="113"/>
      <c r="Y152" s="113"/>
      <c r="Z152" s="113"/>
      <c r="AA152" s="113"/>
      <c r="AB152" s="113"/>
      <c r="AC152" s="113"/>
      <c r="AD152" s="113"/>
    </row>
    <row r="153" spans="2:30" ht="15.75" customHeight="1">
      <c r="B153" s="113"/>
      <c r="C153" s="119"/>
      <c r="D153" s="119"/>
      <c r="E153" s="119"/>
      <c r="F153" s="119"/>
      <c r="G153" s="119"/>
      <c r="H153" s="119"/>
      <c r="I153" s="119"/>
      <c r="J153" s="119"/>
      <c r="K153" s="119"/>
      <c r="L153" s="113"/>
      <c r="M153" s="113"/>
      <c r="N153" s="119"/>
      <c r="O153" s="119"/>
      <c r="P153" s="113"/>
      <c r="Q153" s="113"/>
      <c r="R153" s="119"/>
      <c r="S153" s="113"/>
      <c r="T153" s="119"/>
      <c r="U153" s="113"/>
      <c r="V153" s="113"/>
      <c r="W153" s="113"/>
      <c r="X153" s="113"/>
      <c r="Y153" s="113"/>
      <c r="Z153" s="113"/>
      <c r="AA153" s="113"/>
      <c r="AB153" s="113"/>
      <c r="AC153" s="113"/>
      <c r="AD153" s="113"/>
    </row>
    <row r="154" spans="2:30" ht="15.75" customHeight="1">
      <c r="B154" s="113"/>
      <c r="C154" s="119"/>
      <c r="D154" s="119"/>
      <c r="E154" s="119"/>
      <c r="F154" s="119"/>
      <c r="G154" s="119"/>
      <c r="H154" s="119"/>
      <c r="I154" s="119"/>
      <c r="J154" s="119"/>
      <c r="K154" s="119"/>
      <c r="L154" s="113"/>
      <c r="M154" s="113"/>
      <c r="N154" s="119"/>
      <c r="O154" s="119"/>
      <c r="P154" s="113"/>
      <c r="Q154" s="113"/>
      <c r="R154" s="119"/>
      <c r="S154" s="113"/>
      <c r="T154" s="119"/>
      <c r="U154" s="113"/>
      <c r="V154" s="113"/>
      <c r="W154" s="113"/>
      <c r="X154" s="113"/>
      <c r="Y154" s="113"/>
      <c r="Z154" s="113"/>
      <c r="AA154" s="113"/>
      <c r="AB154" s="113"/>
      <c r="AC154" s="113"/>
      <c r="AD154" s="113"/>
    </row>
    <row r="155" spans="2:30" ht="15.75" customHeight="1">
      <c r="B155" s="113"/>
      <c r="C155" s="119"/>
      <c r="D155" s="119"/>
      <c r="E155" s="119"/>
      <c r="F155" s="119"/>
      <c r="G155" s="119"/>
      <c r="H155" s="119"/>
      <c r="I155" s="119"/>
      <c r="J155" s="119"/>
      <c r="K155" s="119"/>
      <c r="L155" s="113"/>
      <c r="M155" s="113"/>
      <c r="N155" s="119"/>
      <c r="O155" s="119"/>
      <c r="P155" s="113"/>
      <c r="Q155" s="113"/>
      <c r="R155" s="119"/>
      <c r="S155" s="113"/>
      <c r="T155" s="119"/>
      <c r="U155" s="113"/>
      <c r="V155" s="113"/>
      <c r="W155" s="113"/>
      <c r="X155" s="113"/>
      <c r="Y155" s="113"/>
      <c r="Z155" s="113"/>
      <c r="AA155" s="113"/>
      <c r="AB155" s="113"/>
      <c r="AC155" s="113"/>
      <c r="AD155" s="113"/>
    </row>
    <row r="156" spans="2:30" ht="15.75" customHeight="1">
      <c r="B156" s="113"/>
      <c r="C156" s="119"/>
      <c r="D156" s="119"/>
      <c r="E156" s="119"/>
      <c r="F156" s="119"/>
      <c r="G156" s="119"/>
      <c r="H156" s="119"/>
      <c r="I156" s="119"/>
      <c r="J156" s="119"/>
      <c r="K156" s="119"/>
      <c r="L156" s="113"/>
      <c r="M156" s="113"/>
      <c r="N156" s="119"/>
      <c r="O156" s="119"/>
      <c r="P156" s="113"/>
      <c r="Q156" s="113"/>
      <c r="R156" s="119"/>
      <c r="S156" s="113"/>
      <c r="T156" s="119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</row>
    <row r="157" spans="2:30" ht="15.75" customHeight="1">
      <c r="B157" s="113"/>
      <c r="C157" s="119"/>
      <c r="D157" s="119"/>
      <c r="E157" s="119"/>
      <c r="F157" s="119"/>
      <c r="G157" s="119"/>
      <c r="H157" s="119"/>
      <c r="I157" s="119"/>
      <c r="J157" s="119"/>
      <c r="K157" s="119"/>
      <c r="L157" s="113"/>
      <c r="M157" s="113"/>
      <c r="N157" s="119"/>
      <c r="O157" s="119"/>
      <c r="P157" s="113"/>
      <c r="Q157" s="113"/>
      <c r="R157" s="119"/>
      <c r="S157" s="113"/>
      <c r="T157" s="119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</row>
    <row r="158" spans="2:30" ht="15.75" customHeight="1">
      <c r="B158" s="113"/>
      <c r="C158" s="119"/>
      <c r="D158" s="119"/>
      <c r="E158" s="119"/>
      <c r="F158" s="119"/>
      <c r="G158" s="119"/>
      <c r="H158" s="119"/>
      <c r="I158" s="119"/>
      <c r="J158" s="119"/>
      <c r="K158" s="119"/>
      <c r="L158" s="113"/>
      <c r="M158" s="113"/>
      <c r="N158" s="119"/>
      <c r="O158" s="119"/>
      <c r="P158" s="113"/>
      <c r="Q158" s="113"/>
      <c r="R158" s="119"/>
      <c r="S158" s="113"/>
      <c r="T158" s="119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</row>
    <row r="159" spans="2:30" ht="15.75" customHeight="1">
      <c r="B159" s="113"/>
      <c r="C159" s="119"/>
      <c r="D159" s="119"/>
      <c r="E159" s="119"/>
      <c r="F159" s="119"/>
      <c r="G159" s="119"/>
      <c r="H159" s="119"/>
      <c r="I159" s="119"/>
      <c r="J159" s="119"/>
      <c r="K159" s="119"/>
      <c r="L159" s="113"/>
      <c r="M159" s="113"/>
      <c r="N159" s="119"/>
      <c r="O159" s="119"/>
      <c r="P159" s="113"/>
      <c r="Q159" s="113"/>
      <c r="R159" s="119"/>
      <c r="S159" s="113"/>
      <c r="T159" s="119"/>
      <c r="U159" s="113"/>
      <c r="V159" s="113"/>
      <c r="W159" s="113"/>
      <c r="X159" s="113"/>
      <c r="Y159" s="113"/>
      <c r="Z159" s="113"/>
      <c r="AA159" s="113"/>
      <c r="AB159" s="113"/>
      <c r="AC159" s="113"/>
      <c r="AD159" s="113"/>
    </row>
    <row r="160" spans="2:30" ht="15.75" customHeight="1">
      <c r="B160" s="113"/>
      <c r="C160" s="119"/>
      <c r="D160" s="119"/>
      <c r="E160" s="119"/>
      <c r="F160" s="119"/>
      <c r="G160" s="119"/>
      <c r="H160" s="119"/>
      <c r="I160" s="119"/>
      <c r="J160" s="119"/>
      <c r="K160" s="119"/>
      <c r="L160" s="113"/>
      <c r="M160" s="113"/>
      <c r="N160" s="119"/>
      <c r="O160" s="119"/>
      <c r="P160" s="113"/>
      <c r="Q160" s="113"/>
      <c r="R160" s="119"/>
      <c r="S160" s="113"/>
      <c r="T160" s="119"/>
      <c r="U160" s="113"/>
      <c r="V160" s="113"/>
      <c r="W160" s="113"/>
      <c r="X160" s="113"/>
      <c r="Y160" s="113"/>
      <c r="Z160" s="113"/>
      <c r="AA160" s="113"/>
      <c r="AB160" s="113"/>
      <c r="AC160" s="113"/>
      <c r="AD160" s="113"/>
    </row>
    <row r="161" spans="2:30" ht="15.75" customHeight="1">
      <c r="B161" s="113"/>
      <c r="C161" s="119"/>
      <c r="D161" s="119"/>
      <c r="E161" s="119"/>
      <c r="F161" s="119"/>
      <c r="G161" s="119"/>
      <c r="H161" s="119"/>
      <c r="I161" s="119"/>
      <c r="J161" s="119"/>
      <c r="K161" s="119"/>
      <c r="L161" s="113"/>
      <c r="M161" s="113"/>
      <c r="N161" s="119"/>
      <c r="O161" s="119"/>
      <c r="P161" s="113"/>
      <c r="Q161" s="113"/>
      <c r="R161" s="119"/>
      <c r="S161" s="113"/>
      <c r="T161" s="119"/>
      <c r="U161" s="113"/>
      <c r="V161" s="113"/>
      <c r="W161" s="113"/>
      <c r="X161" s="113"/>
      <c r="Y161" s="113"/>
      <c r="Z161" s="113"/>
      <c r="AA161" s="113"/>
      <c r="AB161" s="113"/>
      <c r="AC161" s="113"/>
      <c r="AD161" s="113"/>
    </row>
    <row r="162" spans="2:30" ht="15.75" customHeight="1">
      <c r="B162" s="113"/>
      <c r="C162" s="119"/>
      <c r="D162" s="119"/>
      <c r="E162" s="119"/>
      <c r="F162" s="119"/>
      <c r="G162" s="119"/>
      <c r="H162" s="119"/>
      <c r="I162" s="119"/>
      <c r="J162" s="119"/>
      <c r="K162" s="119"/>
      <c r="L162" s="113"/>
      <c r="M162" s="113"/>
      <c r="N162" s="119"/>
      <c r="O162" s="119"/>
      <c r="P162" s="113"/>
      <c r="Q162" s="113"/>
      <c r="R162" s="119"/>
      <c r="S162" s="113"/>
      <c r="T162" s="119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</row>
    <row r="163" spans="2:30" ht="15.75" customHeight="1">
      <c r="B163" s="113"/>
      <c r="C163" s="119"/>
      <c r="D163" s="119"/>
      <c r="E163" s="119"/>
      <c r="F163" s="119"/>
      <c r="G163" s="119"/>
      <c r="H163" s="119"/>
      <c r="I163" s="119"/>
      <c r="J163" s="119"/>
      <c r="K163" s="119"/>
      <c r="L163" s="113"/>
      <c r="M163" s="113"/>
      <c r="N163" s="119"/>
      <c r="O163" s="119"/>
      <c r="P163" s="113"/>
      <c r="Q163" s="113"/>
      <c r="R163" s="119"/>
      <c r="S163" s="113"/>
      <c r="T163" s="119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</row>
    <row r="164" spans="2:30" ht="15.75" customHeight="1">
      <c r="B164" s="113"/>
      <c r="C164" s="119"/>
      <c r="D164" s="119"/>
      <c r="E164" s="119"/>
      <c r="F164" s="119"/>
      <c r="G164" s="119"/>
      <c r="H164" s="119"/>
      <c r="I164" s="119"/>
      <c r="J164" s="119"/>
      <c r="K164" s="119"/>
      <c r="L164" s="113"/>
      <c r="M164" s="113"/>
      <c r="N164" s="119"/>
      <c r="O164" s="119"/>
      <c r="P164" s="113"/>
      <c r="Q164" s="113"/>
      <c r="R164" s="119"/>
      <c r="S164" s="113"/>
      <c r="T164" s="119"/>
      <c r="U164" s="113"/>
      <c r="V164" s="113"/>
      <c r="W164" s="113"/>
      <c r="X164" s="113"/>
      <c r="Y164" s="113"/>
      <c r="Z164" s="113"/>
      <c r="AA164" s="113"/>
      <c r="AB164" s="113"/>
      <c r="AC164" s="113"/>
      <c r="AD164" s="113"/>
    </row>
    <row r="165" spans="2:30" ht="15.75" customHeight="1">
      <c r="B165" s="113"/>
      <c r="C165" s="119"/>
      <c r="D165" s="119"/>
      <c r="E165" s="119"/>
      <c r="F165" s="119"/>
      <c r="G165" s="119"/>
      <c r="H165" s="119"/>
      <c r="I165" s="119"/>
      <c r="J165" s="119"/>
      <c r="K165" s="119"/>
      <c r="L165" s="113"/>
      <c r="M165" s="113"/>
      <c r="N165" s="119"/>
      <c r="O165" s="119"/>
      <c r="P165" s="113"/>
      <c r="Q165" s="113"/>
      <c r="R165" s="119"/>
      <c r="S165" s="113"/>
      <c r="T165" s="119"/>
      <c r="U165" s="113"/>
      <c r="V165" s="113"/>
      <c r="W165" s="113"/>
      <c r="X165" s="113"/>
      <c r="Y165" s="113"/>
      <c r="Z165" s="113"/>
      <c r="AA165" s="113"/>
      <c r="AB165" s="113"/>
      <c r="AC165" s="113"/>
      <c r="AD165" s="113"/>
    </row>
    <row r="166" spans="2:30" ht="15.75" customHeight="1">
      <c r="B166" s="113"/>
      <c r="C166" s="119"/>
      <c r="D166" s="119"/>
      <c r="E166" s="119"/>
      <c r="F166" s="119"/>
      <c r="G166" s="119"/>
      <c r="H166" s="119"/>
      <c r="I166" s="119"/>
      <c r="J166" s="119"/>
      <c r="K166" s="119"/>
      <c r="L166" s="113"/>
      <c r="M166" s="113"/>
      <c r="N166" s="119"/>
      <c r="O166" s="119"/>
      <c r="P166" s="113"/>
      <c r="Q166" s="113"/>
      <c r="R166" s="119"/>
      <c r="S166" s="113"/>
      <c r="T166" s="119"/>
      <c r="U166" s="113"/>
      <c r="V166" s="113"/>
      <c r="W166" s="113"/>
      <c r="X166" s="113"/>
      <c r="Y166" s="113"/>
      <c r="Z166" s="113"/>
      <c r="AA166" s="113"/>
      <c r="AB166" s="113"/>
      <c r="AC166" s="113"/>
      <c r="AD166" s="113"/>
    </row>
    <row r="167" spans="2:30" ht="15.75" customHeight="1">
      <c r="B167" s="113"/>
      <c r="C167" s="119"/>
      <c r="D167" s="119"/>
      <c r="E167" s="119"/>
      <c r="F167" s="119"/>
      <c r="G167" s="119"/>
      <c r="H167" s="119"/>
      <c r="I167" s="119"/>
      <c r="J167" s="119"/>
      <c r="K167" s="119"/>
      <c r="L167" s="113"/>
      <c r="M167" s="113"/>
      <c r="N167" s="119"/>
      <c r="O167" s="119"/>
      <c r="P167" s="113"/>
      <c r="Q167" s="113"/>
      <c r="R167" s="119"/>
      <c r="S167" s="113"/>
      <c r="T167" s="119"/>
      <c r="U167" s="113"/>
      <c r="V167" s="113"/>
      <c r="W167" s="113"/>
      <c r="X167" s="113"/>
      <c r="Y167" s="113"/>
      <c r="Z167" s="113"/>
      <c r="AA167" s="113"/>
      <c r="AB167" s="113"/>
      <c r="AC167" s="113"/>
      <c r="AD167" s="113"/>
    </row>
    <row r="168" spans="2:30" ht="15.75" customHeight="1">
      <c r="B168" s="113"/>
      <c r="C168" s="119"/>
      <c r="D168" s="119"/>
      <c r="E168" s="119"/>
      <c r="F168" s="119"/>
      <c r="G168" s="119"/>
      <c r="H168" s="119"/>
      <c r="I168" s="119"/>
      <c r="J168" s="119"/>
      <c r="K168" s="119"/>
      <c r="L168" s="113"/>
      <c r="M168" s="113"/>
      <c r="N168" s="119"/>
      <c r="O168" s="119"/>
      <c r="P168" s="113"/>
      <c r="Q168" s="113"/>
      <c r="R168" s="119"/>
      <c r="S168" s="113"/>
      <c r="T168" s="119"/>
      <c r="U168" s="113"/>
      <c r="V168" s="113"/>
      <c r="W168" s="113"/>
      <c r="X168" s="113"/>
      <c r="Y168" s="113"/>
      <c r="Z168" s="113"/>
      <c r="AA168" s="113"/>
      <c r="AB168" s="113"/>
      <c r="AC168" s="113"/>
      <c r="AD168" s="113"/>
    </row>
    <row r="169" spans="2:30" ht="15.75" customHeight="1">
      <c r="B169" s="113"/>
      <c r="C169" s="119"/>
      <c r="D169" s="119"/>
      <c r="E169" s="119"/>
      <c r="F169" s="119"/>
      <c r="G169" s="119"/>
      <c r="H169" s="119"/>
      <c r="I169" s="119"/>
      <c r="J169" s="119"/>
      <c r="K169" s="119"/>
      <c r="L169" s="113"/>
      <c r="M169" s="113"/>
      <c r="N169" s="119"/>
      <c r="O169" s="119"/>
      <c r="P169" s="113"/>
      <c r="Q169" s="113"/>
      <c r="R169" s="119"/>
      <c r="S169" s="113"/>
      <c r="T169" s="119"/>
      <c r="U169" s="113"/>
      <c r="V169" s="113"/>
      <c r="W169" s="113"/>
      <c r="X169" s="113"/>
      <c r="Y169" s="113"/>
      <c r="Z169" s="113"/>
      <c r="AA169" s="113"/>
      <c r="AB169" s="113"/>
      <c r="AC169" s="113"/>
      <c r="AD169" s="113"/>
    </row>
    <row r="170" spans="2:30" ht="15.75" customHeight="1">
      <c r="B170" s="113"/>
      <c r="C170" s="119"/>
      <c r="D170" s="119"/>
      <c r="E170" s="119"/>
      <c r="F170" s="119"/>
      <c r="G170" s="119"/>
      <c r="H170" s="119"/>
      <c r="I170" s="119"/>
      <c r="J170" s="119"/>
      <c r="K170" s="119"/>
      <c r="L170" s="113"/>
      <c r="M170" s="113"/>
      <c r="N170" s="119"/>
      <c r="O170" s="119"/>
      <c r="P170" s="113"/>
      <c r="Q170" s="113"/>
      <c r="R170" s="119"/>
      <c r="S170" s="113"/>
      <c r="T170" s="119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</row>
    <row r="171" spans="2:30" ht="15.75" customHeight="1">
      <c r="B171" s="113"/>
      <c r="C171" s="119"/>
      <c r="D171" s="119"/>
      <c r="E171" s="119"/>
      <c r="F171" s="119"/>
      <c r="G171" s="119"/>
      <c r="H171" s="119"/>
      <c r="I171" s="119"/>
      <c r="J171" s="119"/>
      <c r="K171" s="119"/>
      <c r="L171" s="113"/>
      <c r="M171" s="113"/>
      <c r="N171" s="119"/>
      <c r="O171" s="119"/>
      <c r="P171" s="113"/>
      <c r="Q171" s="113"/>
      <c r="R171" s="119"/>
      <c r="S171" s="113"/>
      <c r="T171" s="119"/>
      <c r="U171" s="113"/>
      <c r="V171" s="113"/>
      <c r="W171" s="113"/>
      <c r="X171" s="113"/>
      <c r="Y171" s="113"/>
      <c r="Z171" s="113"/>
      <c r="AA171" s="113"/>
      <c r="AB171" s="113"/>
      <c r="AC171" s="113"/>
      <c r="AD171" s="113"/>
    </row>
    <row r="172" spans="2:30" ht="15.75" customHeight="1">
      <c r="B172" s="113"/>
      <c r="C172" s="119"/>
      <c r="D172" s="119"/>
      <c r="E172" s="119"/>
      <c r="F172" s="119"/>
      <c r="G172" s="119"/>
      <c r="H172" s="119"/>
      <c r="I172" s="119"/>
      <c r="J172" s="119"/>
      <c r="K172" s="119"/>
      <c r="L172" s="113"/>
      <c r="M172" s="113"/>
      <c r="N172" s="119"/>
      <c r="O172" s="119"/>
      <c r="P172" s="113"/>
      <c r="Q172" s="113"/>
      <c r="R172" s="119"/>
      <c r="S172" s="113"/>
      <c r="T172" s="119"/>
      <c r="U172" s="113"/>
      <c r="V172" s="113"/>
      <c r="W172" s="113"/>
      <c r="X172" s="113"/>
      <c r="Y172" s="113"/>
      <c r="Z172" s="113"/>
      <c r="AA172" s="113"/>
      <c r="AB172" s="113"/>
      <c r="AC172" s="113"/>
      <c r="AD172" s="113"/>
    </row>
    <row r="173" spans="2:30" ht="15.75" customHeight="1">
      <c r="B173" s="113"/>
      <c r="C173" s="119"/>
      <c r="D173" s="119"/>
      <c r="E173" s="119"/>
      <c r="F173" s="119"/>
      <c r="G173" s="119"/>
      <c r="H173" s="119"/>
      <c r="I173" s="119"/>
      <c r="J173" s="119"/>
      <c r="K173" s="119"/>
      <c r="L173" s="113"/>
      <c r="M173" s="113"/>
      <c r="N173" s="119"/>
      <c r="O173" s="119"/>
      <c r="P173" s="113"/>
      <c r="Q173" s="113"/>
      <c r="R173" s="119"/>
      <c r="S173" s="113"/>
      <c r="T173" s="119"/>
      <c r="U173" s="113"/>
      <c r="V173" s="113"/>
      <c r="W173" s="113"/>
      <c r="X173" s="113"/>
      <c r="Y173" s="113"/>
      <c r="Z173" s="113"/>
      <c r="AA173" s="113"/>
      <c r="AB173" s="113"/>
      <c r="AC173" s="113"/>
      <c r="AD173" s="113"/>
    </row>
    <row r="174" spans="2:30" ht="15.75" customHeight="1">
      <c r="B174" s="113"/>
      <c r="C174" s="119"/>
      <c r="D174" s="119"/>
      <c r="E174" s="119"/>
      <c r="F174" s="119"/>
      <c r="G174" s="119"/>
      <c r="H174" s="119"/>
      <c r="I174" s="119"/>
      <c r="J174" s="119"/>
      <c r="K174" s="119"/>
      <c r="L174" s="113"/>
      <c r="M174" s="113"/>
      <c r="N174" s="119"/>
      <c r="O174" s="119"/>
      <c r="P174" s="113"/>
      <c r="Q174" s="113"/>
      <c r="R174" s="119"/>
      <c r="S174" s="113"/>
      <c r="T174" s="119"/>
      <c r="U174" s="113"/>
      <c r="V174" s="113"/>
      <c r="W174" s="113"/>
      <c r="X174" s="113"/>
      <c r="Y174" s="113"/>
      <c r="Z174" s="113"/>
      <c r="AA174" s="113"/>
      <c r="AB174" s="113"/>
      <c r="AC174" s="113"/>
      <c r="AD174" s="113"/>
    </row>
    <row r="175" spans="2:30" ht="15.75" customHeight="1">
      <c r="B175" s="113"/>
      <c r="C175" s="119"/>
      <c r="D175" s="119"/>
      <c r="E175" s="119"/>
      <c r="F175" s="119"/>
      <c r="G175" s="119"/>
      <c r="H175" s="119"/>
      <c r="I175" s="119"/>
      <c r="J175" s="119"/>
      <c r="K175" s="119"/>
      <c r="L175" s="113"/>
      <c r="M175" s="113"/>
      <c r="N175" s="119"/>
      <c r="O175" s="119"/>
      <c r="P175" s="113"/>
      <c r="Q175" s="113"/>
      <c r="R175" s="119"/>
      <c r="S175" s="113"/>
      <c r="T175" s="119"/>
      <c r="U175" s="113"/>
      <c r="V175" s="113"/>
      <c r="W175" s="113"/>
      <c r="X175" s="113"/>
      <c r="Y175" s="113"/>
      <c r="Z175" s="113"/>
      <c r="AA175" s="113"/>
      <c r="AB175" s="113"/>
      <c r="AC175" s="113"/>
      <c r="AD175" s="113"/>
    </row>
    <row r="176" spans="2:30" ht="15.75" customHeight="1">
      <c r="B176" s="113"/>
      <c r="C176" s="119"/>
      <c r="D176" s="119"/>
      <c r="E176" s="119"/>
      <c r="F176" s="119"/>
      <c r="G176" s="119"/>
      <c r="H176" s="119"/>
      <c r="I176" s="119"/>
      <c r="J176" s="119"/>
      <c r="K176" s="119"/>
      <c r="L176" s="113"/>
      <c r="M176" s="113"/>
      <c r="N176" s="119"/>
      <c r="O176" s="119"/>
      <c r="P176" s="113"/>
      <c r="Q176" s="113"/>
      <c r="R176" s="119"/>
      <c r="S176" s="113"/>
      <c r="T176" s="119"/>
      <c r="U176" s="113"/>
      <c r="V176" s="113"/>
      <c r="W176" s="113"/>
      <c r="X176" s="113"/>
      <c r="Y176" s="113"/>
      <c r="Z176" s="113"/>
      <c r="AA176" s="113"/>
      <c r="AB176" s="113"/>
      <c r="AC176" s="113"/>
      <c r="AD176" s="113"/>
    </row>
    <row r="177" spans="2:30" ht="15.75" customHeight="1">
      <c r="B177" s="113"/>
      <c r="C177" s="119"/>
      <c r="D177" s="119"/>
      <c r="E177" s="119"/>
      <c r="F177" s="119"/>
      <c r="G177" s="119"/>
      <c r="H177" s="119"/>
      <c r="I177" s="119"/>
      <c r="J177" s="119"/>
      <c r="K177" s="119"/>
      <c r="L177" s="113"/>
      <c r="M177" s="113"/>
      <c r="N177" s="119"/>
      <c r="O177" s="119"/>
      <c r="P177" s="113"/>
      <c r="Q177" s="113"/>
      <c r="R177" s="119"/>
      <c r="S177" s="113"/>
      <c r="T177" s="119"/>
      <c r="U177" s="113"/>
      <c r="V177" s="113"/>
      <c r="W177" s="113"/>
      <c r="X177" s="113"/>
      <c r="Y177" s="113"/>
      <c r="Z177" s="113"/>
      <c r="AA177" s="113"/>
      <c r="AB177" s="113"/>
      <c r="AC177" s="113"/>
      <c r="AD177" s="113"/>
    </row>
    <row r="178" spans="2:30" ht="15.75" customHeight="1">
      <c r="B178" s="113"/>
      <c r="C178" s="119"/>
      <c r="D178" s="119"/>
      <c r="E178" s="119"/>
      <c r="F178" s="119"/>
      <c r="G178" s="119"/>
      <c r="H178" s="119"/>
      <c r="I178" s="119"/>
      <c r="J178" s="119"/>
      <c r="K178" s="119"/>
      <c r="L178" s="113"/>
      <c r="M178" s="113"/>
      <c r="N178" s="119"/>
      <c r="O178" s="119"/>
      <c r="P178" s="113"/>
      <c r="Q178" s="113"/>
      <c r="R178" s="119"/>
      <c r="S178" s="113"/>
      <c r="T178" s="119"/>
      <c r="U178" s="113"/>
      <c r="V178" s="113"/>
      <c r="W178" s="113"/>
      <c r="X178" s="113"/>
      <c r="Y178" s="113"/>
      <c r="Z178" s="113"/>
      <c r="AA178" s="113"/>
      <c r="AB178" s="113"/>
      <c r="AC178" s="113"/>
      <c r="AD178" s="113"/>
    </row>
    <row r="179" spans="2:30" ht="15.75" customHeight="1">
      <c r="B179" s="113"/>
      <c r="C179" s="119"/>
      <c r="D179" s="119"/>
      <c r="E179" s="119"/>
      <c r="F179" s="119"/>
      <c r="G179" s="119"/>
      <c r="H179" s="119"/>
      <c r="I179" s="119"/>
      <c r="J179" s="119"/>
      <c r="K179" s="119"/>
      <c r="L179" s="113"/>
      <c r="M179" s="113"/>
      <c r="N179" s="119"/>
      <c r="O179" s="119"/>
      <c r="P179" s="113"/>
      <c r="Q179" s="113"/>
      <c r="R179" s="119"/>
      <c r="S179" s="113"/>
      <c r="T179" s="119"/>
      <c r="U179" s="113"/>
      <c r="V179" s="113"/>
      <c r="W179" s="113"/>
      <c r="X179" s="113"/>
      <c r="Y179" s="113"/>
      <c r="Z179" s="113"/>
      <c r="AA179" s="113"/>
      <c r="AB179" s="113"/>
      <c r="AC179" s="113"/>
      <c r="AD179" s="113"/>
    </row>
    <row r="180" spans="2:30" ht="15.75" customHeight="1">
      <c r="B180" s="113"/>
      <c r="C180" s="119"/>
      <c r="D180" s="119"/>
      <c r="E180" s="119"/>
      <c r="F180" s="119"/>
      <c r="G180" s="119"/>
      <c r="H180" s="119"/>
      <c r="I180" s="119"/>
      <c r="J180" s="119"/>
      <c r="K180" s="119"/>
      <c r="L180" s="113"/>
      <c r="M180" s="113"/>
      <c r="N180" s="119"/>
      <c r="O180" s="119"/>
      <c r="P180" s="113"/>
      <c r="Q180" s="113"/>
      <c r="R180" s="119"/>
      <c r="S180" s="113"/>
      <c r="T180" s="119"/>
      <c r="U180" s="113"/>
      <c r="V180" s="113"/>
      <c r="W180" s="113"/>
      <c r="X180" s="113"/>
      <c r="Y180" s="113"/>
      <c r="Z180" s="113"/>
      <c r="AA180" s="113"/>
      <c r="AB180" s="113"/>
      <c r="AC180" s="113"/>
      <c r="AD180" s="113"/>
    </row>
    <row r="181" spans="2:30" ht="15.75" customHeight="1">
      <c r="B181" s="113"/>
      <c r="C181" s="119"/>
      <c r="D181" s="119"/>
      <c r="E181" s="119"/>
      <c r="F181" s="119"/>
      <c r="G181" s="119"/>
      <c r="H181" s="119"/>
      <c r="I181" s="119"/>
      <c r="J181" s="119"/>
      <c r="K181" s="119"/>
      <c r="L181" s="113"/>
      <c r="M181" s="113"/>
      <c r="N181" s="119"/>
      <c r="O181" s="119"/>
      <c r="P181" s="113"/>
      <c r="Q181" s="113"/>
      <c r="R181" s="119"/>
      <c r="S181" s="113"/>
      <c r="T181" s="119"/>
      <c r="U181" s="113"/>
      <c r="V181" s="113"/>
      <c r="W181" s="113"/>
      <c r="X181" s="113"/>
      <c r="Y181" s="113"/>
      <c r="Z181" s="113"/>
      <c r="AA181" s="113"/>
      <c r="AB181" s="113"/>
      <c r="AC181" s="113"/>
      <c r="AD181" s="113"/>
    </row>
    <row r="182" spans="2:30" ht="15.75" customHeight="1">
      <c r="B182" s="113"/>
      <c r="C182" s="119"/>
      <c r="D182" s="119"/>
      <c r="E182" s="119"/>
      <c r="F182" s="119"/>
      <c r="G182" s="119"/>
      <c r="H182" s="119"/>
      <c r="I182" s="119"/>
      <c r="J182" s="119"/>
      <c r="K182" s="119"/>
      <c r="L182" s="113"/>
      <c r="M182" s="113"/>
      <c r="N182" s="119"/>
      <c r="O182" s="119"/>
      <c r="P182" s="113"/>
      <c r="Q182" s="113"/>
      <c r="R182" s="119"/>
      <c r="S182" s="113"/>
      <c r="T182" s="119"/>
      <c r="U182" s="113"/>
      <c r="V182" s="113"/>
      <c r="W182" s="113"/>
      <c r="X182" s="113"/>
      <c r="Y182" s="113"/>
      <c r="Z182" s="113"/>
      <c r="AA182" s="113"/>
      <c r="AB182" s="113"/>
      <c r="AC182" s="113"/>
      <c r="AD182" s="113"/>
    </row>
    <row r="183" spans="2:30" ht="15.75" customHeight="1">
      <c r="B183" s="113"/>
      <c r="C183" s="119"/>
      <c r="D183" s="119"/>
      <c r="E183" s="119"/>
      <c r="F183" s="119"/>
      <c r="G183" s="119"/>
      <c r="H183" s="119"/>
      <c r="I183" s="119"/>
      <c r="J183" s="119"/>
      <c r="K183" s="119"/>
      <c r="L183" s="113"/>
      <c r="M183" s="113"/>
      <c r="N183" s="119"/>
      <c r="O183" s="119"/>
      <c r="P183" s="113"/>
      <c r="Q183" s="113"/>
      <c r="R183" s="119"/>
      <c r="S183" s="113"/>
      <c r="T183" s="119"/>
      <c r="U183" s="113"/>
      <c r="V183" s="113"/>
      <c r="W183" s="113"/>
      <c r="X183" s="113"/>
      <c r="Y183" s="113"/>
      <c r="Z183" s="113"/>
      <c r="AA183" s="113"/>
      <c r="AB183" s="113"/>
      <c r="AC183" s="113"/>
      <c r="AD183" s="113"/>
    </row>
    <row r="184" spans="2:30" ht="15.75" customHeight="1">
      <c r="B184" s="113"/>
      <c r="C184" s="119"/>
      <c r="D184" s="119"/>
      <c r="E184" s="119"/>
      <c r="F184" s="119"/>
      <c r="G184" s="119"/>
      <c r="H184" s="119"/>
      <c r="I184" s="119"/>
      <c r="J184" s="119"/>
      <c r="K184" s="119"/>
      <c r="L184" s="113"/>
      <c r="M184" s="113"/>
      <c r="N184" s="119"/>
      <c r="O184" s="119"/>
      <c r="P184" s="113"/>
      <c r="Q184" s="113"/>
      <c r="R184" s="119"/>
      <c r="S184" s="113"/>
      <c r="T184" s="119"/>
      <c r="U184" s="113"/>
      <c r="V184" s="113"/>
      <c r="W184" s="113"/>
      <c r="X184" s="113"/>
      <c r="Y184" s="113"/>
      <c r="Z184" s="113"/>
      <c r="AA184" s="113"/>
      <c r="AB184" s="113"/>
      <c r="AC184" s="113"/>
      <c r="AD184" s="113"/>
    </row>
    <row r="185" spans="2:30" ht="15.75" customHeight="1">
      <c r="B185" s="113"/>
      <c r="C185" s="119"/>
      <c r="D185" s="119"/>
      <c r="E185" s="119"/>
      <c r="F185" s="119"/>
      <c r="G185" s="119"/>
      <c r="H185" s="119"/>
      <c r="I185" s="119"/>
      <c r="J185" s="119"/>
      <c r="K185" s="119"/>
      <c r="L185" s="113"/>
      <c r="M185" s="113"/>
      <c r="N185" s="119"/>
      <c r="O185" s="119"/>
      <c r="P185" s="113"/>
      <c r="Q185" s="113"/>
      <c r="R185" s="119"/>
      <c r="S185" s="113"/>
      <c r="T185" s="119"/>
      <c r="U185" s="113"/>
      <c r="V185" s="113"/>
      <c r="W185" s="113"/>
      <c r="X185" s="113"/>
      <c r="Y185" s="113"/>
      <c r="Z185" s="113"/>
      <c r="AA185" s="113"/>
      <c r="AB185" s="113"/>
      <c r="AC185" s="113"/>
      <c r="AD185" s="113"/>
    </row>
    <row r="186" spans="2:30" ht="15.75" customHeight="1">
      <c r="B186" s="113"/>
      <c r="C186" s="119"/>
      <c r="D186" s="119"/>
      <c r="E186" s="119"/>
      <c r="F186" s="119"/>
      <c r="G186" s="119"/>
      <c r="H186" s="119"/>
      <c r="I186" s="119"/>
      <c r="J186" s="119"/>
      <c r="K186" s="119"/>
      <c r="L186" s="113"/>
      <c r="M186" s="113"/>
      <c r="N186" s="119"/>
      <c r="O186" s="119"/>
      <c r="P186" s="113"/>
      <c r="Q186" s="113"/>
      <c r="R186" s="119"/>
      <c r="S186" s="113"/>
      <c r="T186" s="119"/>
      <c r="U186" s="113"/>
      <c r="V186" s="113"/>
      <c r="W186" s="113"/>
      <c r="X186" s="113"/>
      <c r="Y186" s="113"/>
      <c r="Z186" s="113"/>
      <c r="AA186" s="113"/>
      <c r="AB186" s="113"/>
      <c r="AC186" s="113"/>
      <c r="AD186" s="113"/>
    </row>
    <row r="187" spans="2:30" ht="15.75" customHeight="1">
      <c r="B187" s="113"/>
      <c r="C187" s="119"/>
      <c r="D187" s="119"/>
      <c r="E187" s="119"/>
      <c r="F187" s="119"/>
      <c r="G187" s="119"/>
      <c r="H187" s="119"/>
      <c r="I187" s="119"/>
      <c r="J187" s="119"/>
      <c r="K187" s="119"/>
      <c r="L187" s="113"/>
      <c r="M187" s="113"/>
      <c r="N187" s="119"/>
      <c r="O187" s="119"/>
      <c r="P187" s="113"/>
      <c r="Q187" s="113"/>
      <c r="R187" s="119"/>
      <c r="S187" s="113"/>
      <c r="T187" s="119"/>
      <c r="U187" s="113"/>
      <c r="V187" s="113"/>
      <c r="W187" s="113"/>
      <c r="X187" s="113"/>
      <c r="Y187" s="113"/>
      <c r="Z187" s="113"/>
      <c r="AA187" s="113"/>
      <c r="AB187" s="113"/>
      <c r="AC187" s="113"/>
      <c r="AD187" s="113"/>
    </row>
    <row r="188" spans="2:30" ht="15.75" customHeight="1">
      <c r="B188" s="113"/>
      <c r="C188" s="119"/>
      <c r="D188" s="119"/>
      <c r="E188" s="119"/>
      <c r="F188" s="119"/>
      <c r="G188" s="119"/>
      <c r="H188" s="119"/>
      <c r="I188" s="119"/>
      <c r="J188" s="119"/>
      <c r="K188" s="119"/>
      <c r="L188" s="113"/>
      <c r="M188" s="113"/>
      <c r="N188" s="119"/>
      <c r="O188" s="119"/>
      <c r="P188" s="113"/>
      <c r="Q188" s="113"/>
      <c r="R188" s="119"/>
      <c r="S188" s="113"/>
      <c r="T188" s="119"/>
      <c r="U188" s="113"/>
      <c r="V188" s="113"/>
      <c r="W188" s="113"/>
      <c r="X188" s="113"/>
      <c r="Y188" s="113"/>
      <c r="Z188" s="113"/>
      <c r="AA188" s="113"/>
      <c r="AB188" s="113"/>
      <c r="AC188" s="113"/>
      <c r="AD188" s="113"/>
    </row>
    <row r="189" spans="2:30" ht="15.75" customHeight="1">
      <c r="B189" s="113"/>
      <c r="C189" s="119"/>
      <c r="D189" s="119"/>
      <c r="E189" s="119"/>
      <c r="F189" s="119"/>
      <c r="G189" s="119"/>
      <c r="H189" s="119"/>
      <c r="I189" s="119"/>
      <c r="J189" s="119"/>
      <c r="K189" s="119"/>
      <c r="L189" s="113"/>
      <c r="M189" s="113"/>
      <c r="N189" s="119"/>
      <c r="O189" s="119"/>
      <c r="P189" s="113"/>
      <c r="Q189" s="113"/>
      <c r="R189" s="119"/>
      <c r="S189" s="113"/>
      <c r="T189" s="119"/>
      <c r="U189" s="113"/>
      <c r="V189" s="113"/>
      <c r="W189" s="113"/>
      <c r="X189" s="113"/>
      <c r="Y189" s="113"/>
      <c r="Z189" s="113"/>
      <c r="AA189" s="113"/>
      <c r="AB189" s="113"/>
      <c r="AC189" s="113"/>
      <c r="AD189" s="113"/>
    </row>
    <row r="190" spans="2:30" ht="15.75" customHeight="1">
      <c r="B190" s="113"/>
      <c r="C190" s="119"/>
      <c r="D190" s="119"/>
      <c r="E190" s="119"/>
      <c r="F190" s="119"/>
      <c r="G190" s="119"/>
      <c r="H190" s="119"/>
      <c r="I190" s="119"/>
      <c r="J190" s="119"/>
      <c r="K190" s="119"/>
      <c r="L190" s="113"/>
      <c r="M190" s="113"/>
      <c r="N190" s="119"/>
      <c r="O190" s="119"/>
      <c r="P190" s="113"/>
      <c r="Q190" s="113"/>
      <c r="R190" s="119"/>
      <c r="S190" s="113"/>
      <c r="T190" s="119"/>
      <c r="U190" s="113"/>
      <c r="V190" s="113"/>
      <c r="W190" s="113"/>
      <c r="X190" s="113"/>
      <c r="Y190" s="113"/>
      <c r="Z190" s="113"/>
      <c r="AA190" s="113"/>
      <c r="AB190" s="113"/>
      <c r="AC190" s="113"/>
      <c r="AD190" s="113"/>
    </row>
    <row r="191" spans="2:30" ht="15.75" customHeight="1">
      <c r="B191" s="113"/>
      <c r="C191" s="119"/>
      <c r="D191" s="119"/>
      <c r="E191" s="119"/>
      <c r="F191" s="119"/>
      <c r="G191" s="119"/>
      <c r="H191" s="119"/>
      <c r="I191" s="119"/>
      <c r="J191" s="119"/>
      <c r="K191" s="119"/>
      <c r="L191" s="113"/>
      <c r="M191" s="113"/>
      <c r="N191" s="119"/>
      <c r="O191" s="119"/>
      <c r="P191" s="113"/>
      <c r="Q191" s="113"/>
      <c r="R191" s="119"/>
      <c r="S191" s="113"/>
      <c r="T191" s="119"/>
      <c r="U191" s="113"/>
      <c r="V191" s="113"/>
      <c r="W191" s="113"/>
      <c r="X191" s="113"/>
      <c r="Y191" s="113"/>
      <c r="Z191" s="113"/>
      <c r="AA191" s="113"/>
      <c r="AB191" s="113"/>
      <c r="AC191" s="113"/>
      <c r="AD191" s="113"/>
    </row>
    <row r="192" spans="2:30" ht="15.75" customHeight="1">
      <c r="B192" s="113"/>
      <c r="C192" s="119"/>
      <c r="D192" s="119"/>
      <c r="E192" s="119"/>
      <c r="F192" s="119"/>
      <c r="G192" s="119"/>
      <c r="H192" s="119"/>
      <c r="I192" s="119"/>
      <c r="J192" s="119"/>
      <c r="K192" s="119"/>
      <c r="L192" s="113"/>
      <c r="M192" s="113"/>
      <c r="N192" s="119"/>
      <c r="O192" s="119"/>
      <c r="P192" s="113"/>
      <c r="Q192" s="113"/>
      <c r="R192" s="119"/>
      <c r="S192" s="113"/>
      <c r="T192" s="119"/>
      <c r="U192" s="113"/>
      <c r="V192" s="113"/>
      <c r="W192" s="113"/>
      <c r="X192" s="113"/>
      <c r="Y192" s="113"/>
      <c r="Z192" s="113"/>
      <c r="AA192" s="113"/>
      <c r="AB192" s="113"/>
      <c r="AC192" s="113"/>
      <c r="AD192" s="113"/>
    </row>
    <row r="193" spans="2:30" ht="15.75" customHeight="1">
      <c r="B193" s="113"/>
      <c r="C193" s="119"/>
      <c r="D193" s="119"/>
      <c r="E193" s="119"/>
      <c r="F193" s="119"/>
      <c r="G193" s="119"/>
      <c r="H193" s="119"/>
      <c r="I193" s="119"/>
      <c r="J193" s="119"/>
      <c r="K193" s="119"/>
      <c r="L193" s="113"/>
      <c r="M193" s="113"/>
      <c r="N193" s="119"/>
      <c r="O193" s="119"/>
      <c r="P193" s="113"/>
      <c r="Q193" s="113"/>
      <c r="R193" s="119"/>
      <c r="S193" s="113"/>
      <c r="T193" s="119"/>
      <c r="U193" s="113"/>
      <c r="V193" s="113"/>
      <c r="W193" s="113"/>
      <c r="X193" s="113"/>
      <c r="Y193" s="113"/>
      <c r="Z193" s="113"/>
      <c r="AA193" s="113"/>
      <c r="AB193" s="113"/>
      <c r="AC193" s="113"/>
      <c r="AD193" s="113"/>
    </row>
    <row r="194" spans="2:30" ht="15.75" customHeight="1">
      <c r="B194" s="113"/>
      <c r="C194" s="119"/>
      <c r="D194" s="119"/>
      <c r="E194" s="119"/>
      <c r="F194" s="119"/>
      <c r="G194" s="119"/>
      <c r="H194" s="119"/>
      <c r="I194" s="119"/>
      <c r="J194" s="119"/>
      <c r="K194" s="119"/>
      <c r="L194" s="113"/>
      <c r="M194" s="113"/>
      <c r="N194" s="119"/>
      <c r="O194" s="119"/>
      <c r="P194" s="113"/>
      <c r="Q194" s="113"/>
      <c r="R194" s="119"/>
      <c r="S194" s="113"/>
      <c r="T194" s="119"/>
      <c r="U194" s="113"/>
      <c r="V194" s="113"/>
      <c r="W194" s="113"/>
      <c r="X194" s="113"/>
      <c r="Y194" s="113"/>
      <c r="Z194" s="113"/>
      <c r="AA194" s="113"/>
      <c r="AB194" s="113"/>
      <c r="AC194" s="113"/>
      <c r="AD194" s="113"/>
    </row>
    <row r="195" spans="2:30" ht="15.75" customHeight="1">
      <c r="B195" s="113"/>
      <c r="C195" s="119"/>
      <c r="D195" s="119"/>
      <c r="E195" s="119"/>
      <c r="F195" s="119"/>
      <c r="G195" s="119"/>
      <c r="H195" s="119"/>
      <c r="I195" s="119"/>
      <c r="J195" s="119"/>
      <c r="K195" s="119"/>
      <c r="L195" s="113"/>
      <c r="M195" s="113"/>
      <c r="N195" s="119"/>
      <c r="O195" s="119"/>
      <c r="P195" s="113"/>
      <c r="Q195" s="113"/>
      <c r="R195" s="119"/>
      <c r="S195" s="113"/>
      <c r="T195" s="119"/>
      <c r="U195" s="113"/>
      <c r="V195" s="113"/>
      <c r="W195" s="113"/>
      <c r="X195" s="113"/>
      <c r="Y195" s="113"/>
      <c r="Z195" s="113"/>
      <c r="AA195" s="113"/>
      <c r="AB195" s="113"/>
      <c r="AC195" s="113"/>
      <c r="AD195" s="113"/>
    </row>
    <row r="196" spans="2:30" ht="15.75" customHeight="1">
      <c r="B196" s="113"/>
      <c r="C196" s="119"/>
      <c r="D196" s="119"/>
      <c r="E196" s="119"/>
      <c r="F196" s="119"/>
      <c r="G196" s="119"/>
      <c r="H196" s="119"/>
      <c r="I196" s="119"/>
      <c r="J196" s="119"/>
      <c r="K196" s="119"/>
      <c r="L196" s="113"/>
      <c r="M196" s="113"/>
      <c r="N196" s="119"/>
      <c r="O196" s="119"/>
      <c r="P196" s="113"/>
      <c r="Q196" s="113"/>
      <c r="R196" s="119"/>
      <c r="S196" s="113"/>
      <c r="T196" s="119"/>
      <c r="U196" s="113"/>
      <c r="V196" s="113"/>
      <c r="W196" s="113"/>
      <c r="X196" s="113"/>
      <c r="Y196" s="113"/>
      <c r="Z196" s="113"/>
      <c r="AA196" s="113"/>
      <c r="AB196" s="113"/>
      <c r="AC196" s="113"/>
      <c r="AD196" s="113"/>
    </row>
    <row r="197" spans="2:30" ht="15.75" customHeight="1">
      <c r="B197" s="113"/>
      <c r="C197" s="119"/>
      <c r="D197" s="119"/>
      <c r="E197" s="119"/>
      <c r="F197" s="119"/>
      <c r="G197" s="119"/>
      <c r="H197" s="119"/>
      <c r="I197" s="119"/>
      <c r="J197" s="119"/>
      <c r="K197" s="119"/>
      <c r="L197" s="113"/>
      <c r="M197" s="113"/>
      <c r="N197" s="119"/>
      <c r="O197" s="119"/>
      <c r="P197" s="113"/>
      <c r="Q197" s="113"/>
      <c r="R197" s="119"/>
      <c r="S197" s="113"/>
      <c r="T197" s="119"/>
      <c r="U197" s="113"/>
      <c r="V197" s="113"/>
      <c r="W197" s="113"/>
      <c r="X197" s="113"/>
      <c r="Y197" s="113"/>
      <c r="Z197" s="113"/>
      <c r="AA197" s="113"/>
      <c r="AB197" s="113"/>
      <c r="AC197" s="113"/>
      <c r="AD197" s="113"/>
    </row>
    <row r="198" spans="2:30" ht="15.75" customHeight="1">
      <c r="B198" s="113"/>
      <c r="C198" s="119"/>
      <c r="D198" s="119"/>
      <c r="E198" s="119"/>
      <c r="F198" s="119"/>
      <c r="G198" s="119"/>
      <c r="H198" s="119"/>
      <c r="I198" s="119"/>
      <c r="J198" s="119"/>
      <c r="K198" s="119"/>
      <c r="L198" s="113"/>
      <c r="M198" s="113"/>
      <c r="N198" s="119"/>
      <c r="O198" s="119"/>
      <c r="P198" s="113"/>
      <c r="Q198" s="113"/>
      <c r="R198" s="119"/>
      <c r="S198" s="113"/>
      <c r="T198" s="119"/>
      <c r="U198" s="113"/>
      <c r="V198" s="113"/>
      <c r="W198" s="113"/>
      <c r="X198" s="113"/>
      <c r="Y198" s="113"/>
      <c r="Z198" s="113"/>
      <c r="AA198" s="113"/>
      <c r="AB198" s="113"/>
      <c r="AC198" s="113"/>
      <c r="AD198" s="113"/>
    </row>
    <row r="199" spans="2:30" ht="15.75" customHeight="1">
      <c r="B199" s="113"/>
      <c r="C199" s="119"/>
      <c r="D199" s="119"/>
      <c r="E199" s="119"/>
      <c r="F199" s="119"/>
      <c r="G199" s="119"/>
      <c r="H199" s="119"/>
      <c r="I199" s="119"/>
      <c r="J199" s="119"/>
      <c r="K199" s="119"/>
      <c r="L199" s="113"/>
      <c r="M199" s="113"/>
      <c r="N199" s="119"/>
      <c r="O199" s="119"/>
      <c r="P199" s="113"/>
      <c r="Q199" s="113"/>
      <c r="R199" s="119"/>
      <c r="S199" s="113"/>
      <c r="T199" s="119"/>
      <c r="U199" s="113"/>
      <c r="V199" s="113"/>
      <c r="W199" s="113"/>
      <c r="X199" s="113"/>
      <c r="Y199" s="113"/>
      <c r="Z199" s="113"/>
      <c r="AA199" s="113"/>
      <c r="AB199" s="113"/>
      <c r="AC199" s="113"/>
      <c r="AD199" s="113"/>
    </row>
    <row r="200" spans="2:30" ht="15.75" customHeight="1">
      <c r="B200" s="113"/>
      <c r="C200" s="119"/>
      <c r="D200" s="119"/>
      <c r="E200" s="119"/>
      <c r="F200" s="119"/>
      <c r="G200" s="119"/>
      <c r="H200" s="119"/>
      <c r="I200" s="119"/>
      <c r="J200" s="119"/>
      <c r="K200" s="119"/>
      <c r="L200" s="113"/>
      <c r="M200" s="113"/>
      <c r="N200" s="119"/>
      <c r="O200" s="119"/>
      <c r="P200" s="113"/>
      <c r="Q200" s="113"/>
      <c r="R200" s="119"/>
      <c r="S200" s="113"/>
      <c r="T200" s="119"/>
      <c r="U200" s="113"/>
      <c r="V200" s="113"/>
      <c r="W200" s="113"/>
      <c r="X200" s="113"/>
      <c r="Y200" s="113"/>
      <c r="Z200" s="113"/>
      <c r="AA200" s="113"/>
      <c r="AB200" s="113"/>
      <c r="AC200" s="113"/>
      <c r="AD200" s="113"/>
    </row>
    <row r="201" spans="2:30" ht="15.75" customHeight="1">
      <c r="B201" s="113"/>
      <c r="C201" s="119"/>
      <c r="D201" s="119"/>
      <c r="E201" s="119"/>
      <c r="F201" s="119"/>
      <c r="G201" s="119"/>
      <c r="H201" s="119"/>
      <c r="I201" s="119"/>
      <c r="J201" s="119"/>
      <c r="K201" s="119"/>
      <c r="L201" s="113"/>
      <c r="M201" s="113"/>
      <c r="N201" s="119"/>
      <c r="O201" s="119"/>
      <c r="P201" s="113"/>
      <c r="Q201" s="113"/>
      <c r="R201" s="119"/>
      <c r="S201" s="113"/>
      <c r="T201" s="119"/>
      <c r="U201" s="113"/>
      <c r="V201" s="113"/>
      <c r="W201" s="113"/>
      <c r="X201" s="113"/>
      <c r="Y201" s="113"/>
      <c r="Z201" s="113"/>
      <c r="AA201" s="113"/>
      <c r="AB201" s="113"/>
      <c r="AC201" s="113"/>
      <c r="AD201" s="113"/>
    </row>
    <row r="202" spans="2:30" ht="15.75" customHeight="1">
      <c r="B202" s="113"/>
      <c r="C202" s="119"/>
      <c r="D202" s="119"/>
      <c r="E202" s="119"/>
      <c r="F202" s="119"/>
      <c r="G202" s="119"/>
      <c r="H202" s="119"/>
      <c r="I202" s="119"/>
      <c r="J202" s="119"/>
      <c r="K202" s="119"/>
      <c r="L202" s="113"/>
      <c r="M202" s="113"/>
      <c r="N202" s="119"/>
      <c r="O202" s="119"/>
      <c r="P202" s="113"/>
      <c r="Q202" s="113"/>
      <c r="R202" s="119"/>
      <c r="S202" s="113"/>
      <c r="T202" s="119"/>
      <c r="U202" s="113"/>
      <c r="V202" s="113"/>
      <c r="W202" s="113"/>
      <c r="X202" s="113"/>
      <c r="Y202" s="113"/>
      <c r="Z202" s="113"/>
      <c r="AA202" s="113"/>
      <c r="AB202" s="113"/>
      <c r="AC202" s="113"/>
      <c r="AD202" s="113"/>
    </row>
    <row r="203" spans="2:30" ht="15.75" customHeight="1">
      <c r="B203" s="113"/>
      <c r="C203" s="119"/>
      <c r="D203" s="119"/>
      <c r="E203" s="119"/>
      <c r="F203" s="119"/>
      <c r="G203" s="119"/>
      <c r="H203" s="119"/>
      <c r="I203" s="119"/>
      <c r="J203" s="119"/>
      <c r="K203" s="119"/>
      <c r="L203" s="113"/>
      <c r="M203" s="113"/>
      <c r="N203" s="119"/>
      <c r="O203" s="119"/>
      <c r="P203" s="113"/>
      <c r="Q203" s="113"/>
      <c r="R203" s="119"/>
      <c r="S203" s="113"/>
      <c r="T203" s="119"/>
      <c r="U203" s="113"/>
      <c r="V203" s="113"/>
      <c r="W203" s="113"/>
      <c r="X203" s="113"/>
      <c r="Y203" s="113"/>
      <c r="Z203" s="113"/>
      <c r="AA203" s="113"/>
      <c r="AB203" s="113"/>
      <c r="AC203" s="113"/>
      <c r="AD203" s="113"/>
    </row>
    <row r="204" spans="2:30" ht="15.75" customHeight="1">
      <c r="B204" s="113"/>
      <c r="C204" s="119"/>
      <c r="D204" s="119"/>
      <c r="E204" s="119"/>
      <c r="F204" s="119"/>
      <c r="G204" s="119"/>
      <c r="H204" s="119"/>
      <c r="I204" s="119"/>
      <c r="J204" s="119"/>
      <c r="K204" s="119"/>
      <c r="L204" s="113"/>
      <c r="M204" s="113"/>
      <c r="N204" s="119"/>
      <c r="O204" s="119"/>
      <c r="P204" s="113"/>
      <c r="Q204" s="113"/>
      <c r="R204" s="119"/>
      <c r="S204" s="113"/>
      <c r="T204" s="119"/>
      <c r="U204" s="113"/>
      <c r="V204" s="113"/>
      <c r="W204" s="113"/>
      <c r="X204" s="113"/>
      <c r="Y204" s="113"/>
      <c r="Z204" s="113"/>
      <c r="AA204" s="113"/>
      <c r="AB204" s="113"/>
      <c r="AC204" s="113"/>
      <c r="AD204" s="113"/>
    </row>
    <row r="205" spans="2:30" ht="15.75" customHeight="1">
      <c r="B205" s="113"/>
      <c r="C205" s="119"/>
      <c r="D205" s="119"/>
      <c r="E205" s="119"/>
      <c r="F205" s="119"/>
      <c r="G205" s="119"/>
      <c r="H205" s="119"/>
      <c r="I205" s="119"/>
      <c r="J205" s="119"/>
      <c r="K205" s="119"/>
      <c r="L205" s="113"/>
      <c r="M205" s="113"/>
      <c r="N205" s="119"/>
      <c r="O205" s="119"/>
      <c r="P205" s="113"/>
      <c r="Q205" s="113"/>
      <c r="R205" s="119"/>
      <c r="S205" s="113"/>
      <c r="T205" s="119"/>
      <c r="U205" s="113"/>
      <c r="V205" s="113"/>
      <c r="W205" s="113"/>
      <c r="X205" s="113"/>
      <c r="Y205" s="113"/>
      <c r="Z205" s="113"/>
      <c r="AA205" s="113"/>
      <c r="AB205" s="113"/>
      <c r="AC205" s="113"/>
      <c r="AD205" s="113"/>
    </row>
    <row r="206" spans="2:30" ht="15.75" customHeight="1">
      <c r="B206" s="113"/>
      <c r="C206" s="119"/>
      <c r="D206" s="119"/>
      <c r="E206" s="119"/>
      <c r="F206" s="119"/>
      <c r="G206" s="119"/>
      <c r="H206" s="119"/>
      <c r="I206" s="119"/>
      <c r="J206" s="119"/>
      <c r="K206" s="119"/>
      <c r="L206" s="113"/>
      <c r="M206" s="113"/>
      <c r="N206" s="119"/>
      <c r="O206" s="119"/>
      <c r="P206" s="113"/>
      <c r="Q206" s="113"/>
      <c r="R206" s="119"/>
      <c r="S206" s="113"/>
      <c r="T206" s="119"/>
      <c r="U206" s="113"/>
      <c r="V206" s="113"/>
      <c r="W206" s="113"/>
      <c r="X206" s="113"/>
      <c r="Y206" s="113"/>
      <c r="Z206" s="113"/>
      <c r="AA206" s="113"/>
      <c r="AB206" s="113"/>
      <c r="AC206" s="113"/>
      <c r="AD206" s="113"/>
    </row>
    <row r="207" spans="2:30" ht="15.75" customHeight="1">
      <c r="B207" s="113"/>
      <c r="C207" s="119"/>
      <c r="D207" s="119"/>
      <c r="E207" s="119"/>
      <c r="F207" s="119"/>
      <c r="G207" s="119"/>
      <c r="H207" s="119"/>
      <c r="I207" s="119"/>
      <c r="J207" s="119"/>
      <c r="K207" s="119"/>
      <c r="L207" s="113"/>
      <c r="M207" s="113"/>
      <c r="N207" s="119"/>
      <c r="O207" s="119"/>
      <c r="P207" s="113"/>
      <c r="Q207" s="113"/>
      <c r="R207" s="119"/>
      <c r="S207" s="113"/>
      <c r="T207" s="119"/>
      <c r="U207" s="113"/>
      <c r="V207" s="113"/>
      <c r="W207" s="113"/>
      <c r="X207" s="113"/>
      <c r="Y207" s="113"/>
      <c r="Z207" s="113"/>
      <c r="AA207" s="113"/>
      <c r="AB207" s="113"/>
      <c r="AC207" s="113"/>
      <c r="AD207" s="113"/>
    </row>
    <row r="208" spans="2:30" ht="15.75" customHeight="1">
      <c r="B208" s="113"/>
      <c r="F208" s="119"/>
      <c r="G208" s="119"/>
      <c r="H208" s="119"/>
      <c r="I208" s="119"/>
      <c r="J208" s="119"/>
      <c r="K208" s="119"/>
      <c r="L208" s="113"/>
      <c r="M208" s="113"/>
      <c r="N208" s="119"/>
      <c r="O208" s="119"/>
      <c r="P208" s="113"/>
      <c r="Q208" s="113"/>
      <c r="R208" s="119"/>
      <c r="S208" s="113"/>
      <c r="T208" s="119"/>
      <c r="U208" s="113"/>
      <c r="V208" s="113"/>
      <c r="W208" s="113"/>
      <c r="X208" s="113"/>
      <c r="Y208" s="113"/>
      <c r="Z208" s="113"/>
      <c r="AA208" s="113"/>
      <c r="AB208" s="113"/>
      <c r="AC208" s="113"/>
      <c r="AD208" s="113"/>
    </row>
    <row r="209" spans="2:30" ht="15.75" customHeight="1">
      <c r="B209" s="113"/>
      <c r="F209" s="119"/>
      <c r="G209" s="119"/>
      <c r="H209" s="119"/>
      <c r="I209" s="119"/>
      <c r="J209" s="119"/>
      <c r="K209" s="119"/>
      <c r="L209" s="113"/>
      <c r="M209" s="113"/>
      <c r="N209" s="119"/>
      <c r="O209" s="119"/>
      <c r="P209" s="113"/>
      <c r="Q209" s="113"/>
      <c r="R209" s="119"/>
      <c r="S209" s="113"/>
      <c r="T209" s="119"/>
      <c r="U209" s="113"/>
      <c r="V209" s="113"/>
      <c r="W209" s="113"/>
      <c r="X209" s="113"/>
      <c r="Y209" s="113"/>
      <c r="Z209" s="113"/>
      <c r="AA209" s="113"/>
      <c r="AB209" s="113"/>
      <c r="AC209" s="113"/>
      <c r="AD209" s="113"/>
    </row>
    <row r="210" spans="2:30" ht="15.75" customHeight="1">
      <c r="B210" s="113"/>
      <c r="I210" s="119"/>
      <c r="J210" s="119"/>
      <c r="K210" s="119"/>
      <c r="L210" s="113"/>
      <c r="M210" s="113"/>
      <c r="N210" s="119"/>
      <c r="O210" s="119"/>
      <c r="P210" s="113"/>
      <c r="Q210" s="113"/>
      <c r="R210" s="119"/>
      <c r="S210" s="113"/>
      <c r="T210" s="119"/>
      <c r="U210" s="113"/>
      <c r="V210" s="113"/>
      <c r="W210" s="113"/>
      <c r="X210" s="113"/>
      <c r="Y210" s="113"/>
      <c r="Z210" s="113"/>
      <c r="AA210" s="113"/>
      <c r="AB210" s="113"/>
      <c r="AC210" s="113"/>
      <c r="AD210" s="113"/>
    </row>
    <row r="211" spans="2:30" ht="15.75" customHeight="1">
      <c r="B211" s="113"/>
      <c r="I211" s="119"/>
      <c r="K211" s="119"/>
      <c r="L211" s="113"/>
      <c r="M211" s="113"/>
      <c r="N211" s="119"/>
      <c r="O211" s="119"/>
      <c r="P211" s="113"/>
      <c r="Q211" s="113"/>
      <c r="R211" s="119"/>
      <c r="S211" s="113"/>
      <c r="T211" s="119"/>
      <c r="U211" s="113"/>
      <c r="V211" s="113"/>
      <c r="W211" s="113"/>
      <c r="X211" s="113"/>
      <c r="Y211" s="113"/>
      <c r="Z211" s="113"/>
      <c r="AA211" s="113"/>
      <c r="AB211" s="113"/>
      <c r="AC211" s="113"/>
      <c r="AD211" s="113"/>
    </row>
    <row r="212" spans="2:30" ht="15.75" customHeight="1">
      <c r="B212" s="113"/>
      <c r="I212" s="119"/>
      <c r="K212" s="119"/>
      <c r="L212" s="113"/>
      <c r="M212" s="113"/>
      <c r="N212" s="119"/>
      <c r="O212" s="119"/>
      <c r="P212" s="113"/>
      <c r="Q212" s="113"/>
      <c r="R212" s="119"/>
      <c r="S212" s="113"/>
      <c r="T212" s="119"/>
      <c r="U212" s="113"/>
      <c r="V212" s="113"/>
      <c r="W212" s="113"/>
      <c r="X212" s="113"/>
      <c r="Y212" s="113"/>
      <c r="Z212" s="113"/>
      <c r="AA212" s="113"/>
      <c r="AB212" s="113"/>
      <c r="AC212" s="113"/>
      <c r="AD212" s="113"/>
    </row>
    <row r="213" spans="2:30" ht="15.75" customHeight="1">
      <c r="B213" s="113"/>
      <c r="I213" s="119"/>
      <c r="K213" s="119"/>
      <c r="L213" s="113"/>
      <c r="M213" s="113"/>
      <c r="N213" s="119"/>
      <c r="O213" s="119"/>
      <c r="P213" s="113"/>
      <c r="Q213" s="113"/>
      <c r="R213" s="119"/>
      <c r="S213" s="113"/>
      <c r="T213" s="119"/>
      <c r="U213" s="113"/>
      <c r="V213" s="113"/>
      <c r="W213" s="113"/>
      <c r="X213" s="113"/>
      <c r="Y213" s="113"/>
      <c r="Z213" s="113"/>
      <c r="AA213" s="113"/>
      <c r="AB213" s="113"/>
      <c r="AC213" s="113"/>
      <c r="AD213" s="113"/>
    </row>
    <row r="214" spans="2:30" ht="15.75" customHeight="1">
      <c r="B214" s="113"/>
      <c r="I214" s="119"/>
      <c r="K214" s="119"/>
      <c r="L214" s="113"/>
      <c r="M214" s="113"/>
      <c r="N214" s="119"/>
      <c r="O214" s="119"/>
      <c r="P214" s="113"/>
      <c r="Q214" s="113"/>
      <c r="R214" s="119"/>
      <c r="S214" s="113"/>
      <c r="T214" s="119"/>
      <c r="U214" s="113"/>
      <c r="V214" s="113"/>
      <c r="W214" s="113"/>
      <c r="X214" s="113"/>
      <c r="Y214" s="113"/>
      <c r="Z214" s="113"/>
      <c r="AA214" s="113"/>
      <c r="AB214" s="113"/>
      <c r="AC214" s="113"/>
      <c r="AD214" s="113"/>
    </row>
    <row r="215" spans="2:30" ht="15.75" customHeight="1">
      <c r="B215" s="113"/>
      <c r="I215" s="119"/>
      <c r="K215" s="119"/>
      <c r="L215" s="113"/>
      <c r="M215" s="113"/>
      <c r="N215" s="119"/>
      <c r="O215" s="119"/>
      <c r="P215" s="113"/>
      <c r="Q215" s="113"/>
      <c r="R215" s="119"/>
      <c r="S215" s="113"/>
      <c r="T215" s="119"/>
      <c r="U215" s="113"/>
      <c r="V215" s="113"/>
      <c r="W215" s="113"/>
      <c r="X215" s="113"/>
      <c r="Y215" s="113"/>
      <c r="Z215" s="113"/>
      <c r="AA215" s="113"/>
      <c r="AB215" s="113"/>
      <c r="AC215" s="113"/>
      <c r="AD215" s="113"/>
    </row>
    <row r="216" spans="2:30" ht="15.75" customHeight="1">
      <c r="B216" s="113"/>
      <c r="I216" s="119"/>
      <c r="K216" s="119"/>
      <c r="L216" s="113"/>
      <c r="M216" s="113"/>
      <c r="N216" s="119"/>
      <c r="O216" s="119"/>
      <c r="P216" s="113"/>
      <c r="Q216" s="113"/>
      <c r="R216" s="119"/>
      <c r="S216" s="113"/>
      <c r="T216" s="119"/>
      <c r="U216" s="113"/>
      <c r="V216" s="113"/>
      <c r="W216" s="113"/>
      <c r="X216" s="113"/>
      <c r="Y216" s="113"/>
      <c r="Z216" s="113"/>
      <c r="AA216" s="113"/>
      <c r="AB216" s="113"/>
      <c r="AC216" s="113"/>
      <c r="AD216" s="113"/>
    </row>
    <row r="217" spans="2:30" ht="15.75" customHeight="1">
      <c r="I217" s="119"/>
      <c r="L217" s="113"/>
      <c r="M217" s="113"/>
      <c r="N217" s="119"/>
      <c r="O217" s="119"/>
      <c r="P217" s="113"/>
      <c r="Q217" s="113"/>
      <c r="R217" s="119"/>
      <c r="S217" s="113"/>
      <c r="T217" s="119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</row>
    <row r="218" spans="2:30" ht="15.75" customHeight="1">
      <c r="I218" s="119"/>
      <c r="L218" s="113"/>
      <c r="M218" s="113"/>
      <c r="N218" s="119"/>
      <c r="O218" s="119"/>
      <c r="P218" s="113"/>
      <c r="Q218" s="113"/>
      <c r="R218" s="119"/>
      <c r="S218" s="113"/>
      <c r="T218" s="119"/>
      <c r="U218" s="113"/>
      <c r="V218" s="113"/>
      <c r="W218" s="113"/>
      <c r="X218" s="113"/>
      <c r="Y218" s="113"/>
      <c r="Z218" s="113"/>
      <c r="AA218" s="113"/>
      <c r="AB218" s="113"/>
      <c r="AC218" s="113"/>
      <c r="AD218" s="113"/>
    </row>
    <row r="219" spans="2:30" ht="15.75" customHeight="1">
      <c r="I219" s="119"/>
      <c r="L219" s="113"/>
      <c r="M219" s="113"/>
      <c r="N219" s="119"/>
      <c r="O219" s="119"/>
      <c r="P219" s="113"/>
      <c r="Q219" s="113"/>
      <c r="R219" s="119"/>
      <c r="S219" s="113"/>
      <c r="T219" s="119"/>
      <c r="U219" s="113"/>
      <c r="V219" s="113"/>
      <c r="W219" s="113"/>
      <c r="X219" s="113"/>
      <c r="Y219" s="113"/>
      <c r="Z219" s="113"/>
      <c r="AA219" s="113"/>
      <c r="AB219" s="113"/>
      <c r="AC219" s="113"/>
      <c r="AD219" s="113"/>
    </row>
    <row r="220" spans="2:30" ht="15.75" customHeight="1">
      <c r="I220" s="119"/>
      <c r="L220" s="113"/>
      <c r="M220" s="113"/>
      <c r="N220" s="119"/>
      <c r="O220" s="119"/>
      <c r="P220" s="113"/>
      <c r="Q220" s="113"/>
      <c r="R220" s="119"/>
      <c r="S220" s="113"/>
      <c r="T220" s="119"/>
      <c r="U220" s="113"/>
      <c r="V220" s="113"/>
      <c r="W220" s="113"/>
      <c r="X220" s="113"/>
      <c r="Y220" s="113"/>
      <c r="Z220" s="113"/>
      <c r="AA220" s="113"/>
      <c r="AB220" s="113"/>
      <c r="AC220" s="113"/>
      <c r="AD220" s="113"/>
    </row>
    <row r="221" spans="2:30" ht="15.75" customHeight="1">
      <c r="I221" s="119"/>
      <c r="L221" s="113"/>
      <c r="M221" s="113"/>
      <c r="N221" s="119"/>
      <c r="O221" s="119"/>
      <c r="P221" s="113"/>
      <c r="Q221" s="113"/>
      <c r="R221" s="119"/>
      <c r="S221" s="113"/>
      <c r="T221" s="119"/>
      <c r="U221" s="113"/>
      <c r="V221" s="113"/>
      <c r="W221" s="113"/>
      <c r="X221" s="113"/>
      <c r="Y221" s="113"/>
      <c r="Z221" s="113"/>
      <c r="AA221" s="113"/>
      <c r="AB221" s="113"/>
      <c r="AC221" s="113"/>
      <c r="AD221" s="113"/>
    </row>
    <row r="222" spans="2:30" ht="15.75" customHeight="1">
      <c r="I222" s="119"/>
      <c r="L222" s="113"/>
      <c r="M222" s="113"/>
      <c r="N222" s="119"/>
      <c r="O222" s="119"/>
      <c r="P222" s="113"/>
      <c r="Q222" s="113"/>
      <c r="R222" s="119"/>
      <c r="S222" s="113"/>
      <c r="T222" s="119"/>
      <c r="U222" s="113"/>
      <c r="V222" s="113"/>
      <c r="W222" s="113"/>
      <c r="X222" s="113"/>
      <c r="Y222" s="113"/>
      <c r="Z222" s="113"/>
      <c r="AA222" s="113"/>
      <c r="AB222" s="113"/>
      <c r="AC222" s="113"/>
      <c r="AD222" s="113"/>
    </row>
    <row r="223" spans="2:30" ht="15.75" customHeight="1">
      <c r="I223" s="119"/>
      <c r="L223" s="113"/>
      <c r="M223" s="113"/>
      <c r="N223" s="119"/>
      <c r="O223" s="119"/>
      <c r="P223" s="113"/>
      <c r="Q223" s="113"/>
      <c r="R223" s="119"/>
      <c r="S223" s="113"/>
      <c r="T223" s="119"/>
      <c r="U223" s="113"/>
      <c r="V223" s="113"/>
      <c r="W223" s="113"/>
      <c r="X223" s="113"/>
      <c r="Y223" s="113"/>
      <c r="Z223" s="113"/>
      <c r="AA223" s="113"/>
      <c r="AB223" s="113"/>
      <c r="AC223" s="113"/>
      <c r="AD223" s="113"/>
    </row>
    <row r="224" spans="2:30" ht="15.75" customHeight="1">
      <c r="I224" s="119"/>
      <c r="L224" s="113"/>
      <c r="M224" s="113"/>
      <c r="N224" s="119"/>
      <c r="O224" s="119"/>
      <c r="P224" s="113"/>
      <c r="Q224" s="113"/>
      <c r="R224" s="119"/>
      <c r="S224" s="113"/>
      <c r="T224" s="119"/>
      <c r="U224" s="113"/>
      <c r="V224" s="113"/>
      <c r="W224" s="113"/>
      <c r="X224" s="113"/>
      <c r="Y224" s="113"/>
      <c r="Z224" s="113"/>
      <c r="AA224" s="113"/>
      <c r="AB224" s="113"/>
      <c r="AC224" s="113"/>
      <c r="AD224" s="113"/>
    </row>
    <row r="225" spans="9:30" ht="15.75" customHeight="1">
      <c r="I225" s="119"/>
      <c r="L225" s="113"/>
      <c r="M225" s="113"/>
      <c r="N225" s="119"/>
      <c r="O225" s="119"/>
      <c r="P225" s="113"/>
      <c r="Q225" s="113"/>
      <c r="R225" s="119"/>
      <c r="S225" s="113"/>
      <c r="T225" s="119"/>
      <c r="U225" s="113"/>
      <c r="V225" s="113"/>
      <c r="W225" s="113"/>
      <c r="X225" s="113"/>
      <c r="Y225" s="113"/>
      <c r="Z225" s="113"/>
      <c r="AA225" s="113"/>
      <c r="AB225" s="113"/>
      <c r="AC225" s="113"/>
      <c r="AD225" s="113"/>
    </row>
    <row r="226" spans="9:30" ht="15.75" customHeight="1">
      <c r="I226" s="119"/>
      <c r="L226" s="113"/>
      <c r="N226" s="111"/>
      <c r="O226" s="119"/>
      <c r="P226" s="113"/>
      <c r="Q226" s="113"/>
      <c r="R226" s="119"/>
      <c r="S226" s="113"/>
      <c r="T226" s="119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</row>
    <row r="227" spans="9:30" ht="15.75" customHeight="1">
      <c r="I227" s="119"/>
      <c r="L227" s="113"/>
      <c r="N227" s="111"/>
      <c r="O227" s="119"/>
      <c r="P227" s="113"/>
      <c r="R227" s="119"/>
      <c r="S227" s="113"/>
      <c r="T227" s="119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3"/>
    </row>
    <row r="228" spans="9:30" ht="15.75" customHeight="1">
      <c r="I228" s="119"/>
      <c r="L228" s="113"/>
      <c r="N228" s="111"/>
      <c r="O228" s="119"/>
      <c r="P228" s="113"/>
      <c r="T228" s="111"/>
      <c r="U228" s="113"/>
      <c r="V228" s="113"/>
      <c r="W228" s="113"/>
      <c r="X228" s="113"/>
      <c r="Y228" s="113"/>
      <c r="Z228" s="113"/>
      <c r="AA228" s="113"/>
      <c r="AB228" s="113"/>
      <c r="AC228" s="113"/>
      <c r="AD228" s="113"/>
    </row>
    <row r="229" spans="9:30" ht="15.75" customHeight="1">
      <c r="I229" s="119"/>
      <c r="N229" s="111"/>
      <c r="O229" s="119"/>
      <c r="P229" s="113"/>
      <c r="T229" s="111"/>
      <c r="U229" s="113"/>
      <c r="V229" s="113"/>
      <c r="W229" s="113"/>
      <c r="X229" s="113"/>
      <c r="Y229" s="113"/>
      <c r="Z229" s="113"/>
      <c r="AA229" s="113"/>
      <c r="AB229" s="113"/>
      <c r="AC229" s="113"/>
      <c r="AD229" s="113"/>
    </row>
    <row r="230" spans="9:30" ht="15.75" customHeight="1">
      <c r="I230" s="119"/>
      <c r="N230" s="111"/>
      <c r="O230" s="119"/>
      <c r="P230" s="113"/>
      <c r="T230" s="111"/>
      <c r="U230" s="113"/>
      <c r="V230" s="113"/>
      <c r="W230" s="113"/>
      <c r="X230" s="113"/>
      <c r="Y230" s="113"/>
      <c r="Z230" s="113"/>
      <c r="AA230" s="113"/>
      <c r="AB230" s="113"/>
      <c r="AC230" s="113"/>
      <c r="AD230" s="113"/>
    </row>
    <row r="231" spans="9:30" ht="15.75" customHeight="1">
      <c r="I231" s="119"/>
      <c r="N231" s="111"/>
      <c r="O231" s="119"/>
      <c r="P231" s="113"/>
      <c r="T231" s="111"/>
      <c r="U231" s="113"/>
      <c r="V231" s="113"/>
      <c r="W231" s="113"/>
      <c r="X231" s="113"/>
      <c r="Y231" s="113"/>
      <c r="Z231" s="113"/>
      <c r="AA231" s="113"/>
      <c r="AB231" s="113"/>
      <c r="AC231" s="113"/>
      <c r="AD231" s="113"/>
    </row>
    <row r="232" spans="9:30" ht="15.75" customHeight="1">
      <c r="I232" s="119"/>
      <c r="N232" s="111"/>
      <c r="O232" s="119"/>
      <c r="P232" s="113"/>
      <c r="T232" s="111"/>
      <c r="U232" s="113"/>
      <c r="V232" s="113"/>
      <c r="W232" s="113"/>
      <c r="X232" s="113"/>
      <c r="Y232" s="113"/>
      <c r="Z232" s="113"/>
      <c r="AA232" s="113"/>
      <c r="AB232" s="113"/>
      <c r="AC232" s="113"/>
      <c r="AD232" s="113"/>
    </row>
    <row r="233" spans="9:30" ht="15.75" customHeight="1">
      <c r="I233" s="119"/>
      <c r="N233" s="111"/>
      <c r="O233" s="119"/>
      <c r="P233" s="113"/>
      <c r="T233" s="111"/>
      <c r="U233" s="113"/>
      <c r="V233" s="113"/>
      <c r="W233" s="113"/>
      <c r="X233" s="113"/>
      <c r="Y233" s="113"/>
      <c r="Z233" s="113"/>
      <c r="AA233" s="113"/>
      <c r="AB233" s="113"/>
      <c r="AC233" s="113"/>
      <c r="AD233" s="113"/>
    </row>
    <row r="234" spans="9:30" ht="15.75" customHeight="1">
      <c r="I234" s="119"/>
      <c r="N234" s="111"/>
      <c r="O234" s="119"/>
      <c r="P234" s="113"/>
      <c r="T234" s="111"/>
      <c r="U234" s="113"/>
      <c r="V234" s="113"/>
      <c r="W234" s="113"/>
      <c r="X234" s="113"/>
      <c r="Y234" s="113"/>
      <c r="Z234" s="113"/>
      <c r="AA234" s="113"/>
      <c r="AB234" s="113"/>
      <c r="AC234" s="113"/>
      <c r="AD234" s="113"/>
    </row>
    <row r="235" spans="9:30" ht="15.75" customHeight="1">
      <c r="I235" s="119"/>
      <c r="N235" s="111"/>
      <c r="O235" s="119"/>
      <c r="P235" s="113"/>
      <c r="T235" s="111"/>
      <c r="U235" s="113"/>
      <c r="V235" s="113"/>
      <c r="W235" s="113"/>
      <c r="X235" s="113"/>
      <c r="Y235" s="113"/>
      <c r="Z235" s="113"/>
      <c r="AA235" s="113"/>
      <c r="AB235" s="113"/>
      <c r="AC235" s="113"/>
      <c r="AD235" s="113"/>
    </row>
    <row r="236" spans="9:30" ht="15.75" customHeight="1">
      <c r="I236" s="119"/>
      <c r="N236" s="111"/>
      <c r="O236" s="119"/>
      <c r="P236" s="113"/>
      <c r="T236" s="111"/>
      <c r="U236" s="113"/>
      <c r="V236" s="113"/>
      <c r="W236" s="113"/>
      <c r="X236" s="113"/>
      <c r="Y236" s="113"/>
      <c r="Z236" s="113"/>
      <c r="AA236" s="113"/>
      <c r="AB236" s="113"/>
      <c r="AC236" s="113"/>
      <c r="AD236" s="113"/>
    </row>
    <row r="237" spans="9:30" ht="15.75" customHeight="1">
      <c r="I237" s="119"/>
      <c r="N237" s="111"/>
      <c r="O237" s="119"/>
      <c r="P237" s="113"/>
      <c r="T237" s="111"/>
      <c r="U237" s="113"/>
      <c r="V237" s="113"/>
      <c r="W237" s="113"/>
      <c r="X237" s="113"/>
      <c r="Y237" s="113"/>
      <c r="Z237" s="113"/>
      <c r="AA237" s="113"/>
      <c r="AB237" s="113"/>
      <c r="AC237" s="113"/>
      <c r="AD237" s="113"/>
    </row>
    <row r="238" spans="9:30" ht="15.75" customHeight="1">
      <c r="I238" s="119"/>
      <c r="N238" s="111"/>
      <c r="O238" s="119"/>
      <c r="P238" s="113"/>
      <c r="T238" s="111"/>
      <c r="U238" s="113"/>
      <c r="V238" s="113"/>
      <c r="W238" s="113"/>
      <c r="X238" s="113"/>
      <c r="Y238" s="113"/>
      <c r="Z238" s="113"/>
      <c r="AA238" s="113"/>
      <c r="AB238" s="113"/>
      <c r="AC238" s="113"/>
      <c r="AD238" s="113"/>
    </row>
    <row r="239" spans="9:30" ht="15.75" customHeight="1">
      <c r="I239" s="119"/>
      <c r="N239" s="111"/>
      <c r="O239" s="119"/>
      <c r="P239" s="113"/>
      <c r="T239" s="111"/>
      <c r="U239" s="113"/>
      <c r="V239" s="113"/>
      <c r="W239" s="113"/>
      <c r="X239" s="113"/>
      <c r="Y239" s="113"/>
      <c r="Z239" s="113"/>
      <c r="AA239" s="113"/>
      <c r="AB239" s="113"/>
      <c r="AC239" s="113"/>
      <c r="AD239" s="113"/>
    </row>
    <row r="240" spans="9:30" ht="15.75" customHeight="1">
      <c r="N240" s="111"/>
      <c r="O240" s="119"/>
      <c r="P240" s="113"/>
      <c r="T240" s="111"/>
      <c r="U240" s="113"/>
      <c r="V240" s="113"/>
      <c r="W240" s="113"/>
      <c r="X240" s="113"/>
      <c r="Y240" s="113"/>
      <c r="Z240" s="113"/>
      <c r="AA240" s="113"/>
      <c r="AB240" s="113"/>
      <c r="AC240" s="113"/>
      <c r="AD240" s="113"/>
    </row>
    <row r="241" spans="14:30" ht="15.75" customHeight="1">
      <c r="N241" s="111"/>
      <c r="O241" s="119"/>
      <c r="T241" s="111"/>
      <c r="U241" s="113"/>
      <c r="V241" s="113"/>
      <c r="W241" s="113"/>
      <c r="AC241" s="113"/>
      <c r="AD241" s="113"/>
    </row>
    <row r="242" spans="14:30" ht="15.75" customHeight="1">
      <c r="N242" s="111"/>
      <c r="O242" s="111"/>
      <c r="T242" s="111"/>
      <c r="U242" s="113"/>
      <c r="V242" s="113"/>
      <c r="W242" s="113"/>
      <c r="AC242" s="113"/>
      <c r="AD242" s="113"/>
    </row>
    <row r="243" spans="14:30" ht="15.75" customHeight="1">
      <c r="N243" s="111"/>
      <c r="O243" s="111"/>
      <c r="T243" s="111"/>
      <c r="U243" s="113"/>
      <c r="V243" s="113"/>
      <c r="W243" s="113"/>
      <c r="AC243" s="113"/>
      <c r="AD243" s="113"/>
    </row>
    <row r="244" spans="14:30" ht="15.75" customHeight="1">
      <c r="N244" s="111"/>
      <c r="O244" s="111"/>
      <c r="T244" s="111"/>
      <c r="U244" s="113"/>
      <c r="V244" s="113"/>
      <c r="W244" s="113"/>
      <c r="AC244" s="113"/>
      <c r="AD244" s="113"/>
    </row>
    <row r="245" spans="14:30" ht="15.75" customHeight="1">
      <c r="N245" s="111"/>
      <c r="O245" s="111"/>
      <c r="T245" s="111"/>
    </row>
    <row r="246" spans="14:30" ht="15.75" customHeight="1">
      <c r="N246" s="111"/>
      <c r="O246" s="111"/>
      <c r="T246" s="111"/>
    </row>
    <row r="247" spans="14:30" ht="15.75" customHeight="1">
      <c r="N247" s="111"/>
      <c r="O247" s="111"/>
      <c r="T247" s="111"/>
    </row>
    <row r="248" spans="14:30" ht="15.75" customHeight="1">
      <c r="N248" s="111"/>
      <c r="O248" s="111"/>
      <c r="T248" s="111"/>
    </row>
    <row r="249" spans="14:30" ht="15.75" customHeight="1">
      <c r="N249" s="111"/>
      <c r="O249" s="111"/>
      <c r="T249" s="111"/>
    </row>
    <row r="250" spans="14:30" ht="15.75" customHeight="1">
      <c r="N250" s="111"/>
      <c r="O250" s="111"/>
      <c r="T250" s="111"/>
    </row>
    <row r="251" spans="14:30" ht="15.75" customHeight="1">
      <c r="N251" s="111"/>
      <c r="O251" s="111"/>
      <c r="T251" s="111"/>
    </row>
    <row r="252" spans="14:30" ht="15.75" customHeight="1">
      <c r="N252" s="111"/>
      <c r="O252" s="111"/>
      <c r="T252" s="111"/>
    </row>
    <row r="253" spans="14:30" ht="15.75" customHeight="1">
      <c r="N253" s="111"/>
      <c r="O253" s="111"/>
      <c r="T253" s="111"/>
    </row>
    <row r="254" spans="14:30" ht="15.75" customHeight="1">
      <c r="N254" s="111"/>
      <c r="O254" s="111"/>
      <c r="T254" s="111"/>
    </row>
    <row r="255" spans="14:30" ht="15.75" customHeight="1">
      <c r="N255" s="111"/>
      <c r="O255" s="111"/>
      <c r="T255" s="111"/>
    </row>
    <row r="256" spans="14:30" ht="15.75" customHeight="1">
      <c r="N256" s="111"/>
      <c r="O256" s="111"/>
      <c r="T256" s="111"/>
    </row>
    <row r="257" spans="14:20" ht="15.75" customHeight="1">
      <c r="N257" s="111"/>
      <c r="O257" s="111"/>
      <c r="T257" s="111"/>
    </row>
    <row r="258" spans="14:20" ht="15.75" customHeight="1">
      <c r="N258" s="111"/>
      <c r="O258" s="111"/>
      <c r="T258" s="111"/>
    </row>
    <row r="259" spans="14:20" ht="15.75" customHeight="1">
      <c r="N259" s="111"/>
      <c r="O259" s="111"/>
      <c r="T259" s="111"/>
    </row>
    <row r="260" spans="14:20" ht="15.75" customHeight="1">
      <c r="N260" s="111"/>
      <c r="O260" s="111"/>
      <c r="T260" s="111"/>
    </row>
    <row r="261" spans="14:20" ht="15.75" customHeight="1">
      <c r="N261" s="111"/>
      <c r="O261" s="111"/>
      <c r="T261" s="111"/>
    </row>
    <row r="262" spans="14:20" ht="15.75" customHeight="1">
      <c r="N262" s="111"/>
      <c r="O262" s="111"/>
      <c r="T262" s="111"/>
    </row>
    <row r="263" spans="14:20" ht="15.75" customHeight="1">
      <c r="N263" s="111"/>
      <c r="O263" s="111"/>
      <c r="T263" s="111"/>
    </row>
    <row r="264" spans="14:20" ht="15.75" customHeight="1">
      <c r="N264" s="111"/>
      <c r="O264" s="111"/>
      <c r="T264" s="111"/>
    </row>
    <row r="265" spans="14:20" ht="15.75" customHeight="1">
      <c r="N265" s="111"/>
      <c r="O265" s="111"/>
      <c r="T265" s="111"/>
    </row>
    <row r="266" spans="14:20" ht="15.75" customHeight="1">
      <c r="N266" s="111"/>
      <c r="O266" s="111"/>
      <c r="T266" s="111"/>
    </row>
    <row r="267" spans="14:20" ht="15.75" customHeight="1">
      <c r="N267" s="111"/>
      <c r="O267" s="111"/>
      <c r="T267" s="111"/>
    </row>
    <row r="268" spans="14:20" ht="15.75" customHeight="1">
      <c r="N268" s="111"/>
      <c r="O268" s="111"/>
      <c r="T268" s="111"/>
    </row>
    <row r="269" spans="14:20" ht="15.75" customHeight="1">
      <c r="N269" s="111"/>
      <c r="O269" s="111"/>
      <c r="T269" s="111"/>
    </row>
    <row r="270" spans="14:20" ht="15.75" customHeight="1">
      <c r="N270" s="111"/>
      <c r="O270" s="111"/>
      <c r="T270" s="111"/>
    </row>
    <row r="271" spans="14:20" ht="15.75" customHeight="1">
      <c r="N271" s="111"/>
      <c r="O271" s="111"/>
      <c r="T271" s="111"/>
    </row>
    <row r="272" spans="14:20" ht="15.75" customHeight="1">
      <c r="N272" s="111"/>
      <c r="O272" s="111"/>
      <c r="T272" s="111"/>
    </row>
    <row r="273" spans="14:20" ht="15.75" customHeight="1">
      <c r="N273" s="111"/>
      <c r="O273" s="111"/>
      <c r="T273" s="111"/>
    </row>
    <row r="274" spans="14:20" ht="15.75" customHeight="1">
      <c r="N274" s="111"/>
      <c r="O274" s="111"/>
      <c r="T274" s="111"/>
    </row>
    <row r="275" spans="14:20" ht="15.75" customHeight="1">
      <c r="N275" s="111"/>
      <c r="O275" s="111"/>
      <c r="T275" s="111"/>
    </row>
    <row r="276" spans="14:20" ht="15.75" customHeight="1">
      <c r="N276" s="111"/>
      <c r="O276" s="111"/>
      <c r="T276" s="111"/>
    </row>
    <row r="277" spans="14:20" ht="15.75" customHeight="1">
      <c r="N277" s="111"/>
      <c r="O277" s="111"/>
      <c r="T277" s="111"/>
    </row>
    <row r="278" spans="14:20" ht="15.75" customHeight="1">
      <c r="N278" s="111"/>
      <c r="O278" s="111"/>
      <c r="T278" s="111"/>
    </row>
    <row r="279" spans="14:20" ht="15.75" customHeight="1">
      <c r="N279" s="111"/>
      <c r="O279" s="111"/>
      <c r="T279" s="111"/>
    </row>
    <row r="280" spans="14:20" ht="15.75" customHeight="1">
      <c r="N280" s="111"/>
      <c r="O280" s="111"/>
      <c r="T280" s="111"/>
    </row>
    <row r="281" spans="14:20" ht="15.75" customHeight="1">
      <c r="N281" s="111"/>
      <c r="O281" s="111"/>
      <c r="T281" s="111"/>
    </row>
    <row r="282" spans="14:20" ht="15.75" customHeight="1">
      <c r="N282" s="111"/>
      <c r="O282" s="111"/>
      <c r="T282" s="111"/>
    </row>
    <row r="283" spans="14:20" ht="15.75" customHeight="1">
      <c r="N283" s="111"/>
      <c r="O283" s="111"/>
      <c r="T283" s="111"/>
    </row>
    <row r="284" spans="14:20" ht="15.75" customHeight="1">
      <c r="N284" s="111"/>
      <c r="O284" s="111"/>
      <c r="T284" s="111"/>
    </row>
    <row r="285" spans="14:20" ht="15.75" customHeight="1">
      <c r="N285" s="111"/>
      <c r="O285" s="111"/>
      <c r="T285" s="111"/>
    </row>
    <row r="286" spans="14:20" ht="15.75" customHeight="1">
      <c r="N286" s="111"/>
      <c r="O286" s="111"/>
      <c r="T286" s="111"/>
    </row>
    <row r="287" spans="14:20" ht="15.75" customHeight="1">
      <c r="N287" s="111"/>
      <c r="O287" s="111"/>
      <c r="T287" s="111"/>
    </row>
    <row r="288" spans="14:20" ht="15.75" customHeight="1">
      <c r="N288" s="111"/>
      <c r="O288" s="111"/>
      <c r="T288" s="111"/>
    </row>
    <row r="289" spans="14:20" ht="15.75" customHeight="1">
      <c r="N289" s="111"/>
      <c r="O289" s="111"/>
      <c r="T289" s="111"/>
    </row>
    <row r="290" spans="14:20" ht="15.75" customHeight="1">
      <c r="N290" s="111"/>
      <c r="O290" s="111"/>
      <c r="T290" s="111"/>
    </row>
    <row r="291" spans="14:20" ht="15.75" customHeight="1">
      <c r="N291" s="111"/>
      <c r="O291" s="111"/>
      <c r="T291" s="111"/>
    </row>
    <row r="292" spans="14:20" ht="15.75" customHeight="1">
      <c r="N292" s="111"/>
      <c r="O292" s="111"/>
      <c r="T292" s="111"/>
    </row>
    <row r="293" spans="14:20" ht="15.75" customHeight="1">
      <c r="N293" s="111"/>
      <c r="O293" s="111"/>
      <c r="T293" s="111"/>
    </row>
    <row r="294" spans="14:20" ht="15.75" customHeight="1">
      <c r="N294" s="111"/>
      <c r="O294" s="111"/>
      <c r="T294" s="111"/>
    </row>
    <row r="295" spans="14:20" ht="15.75" customHeight="1">
      <c r="N295" s="111"/>
      <c r="O295" s="111"/>
      <c r="T295" s="111"/>
    </row>
    <row r="296" spans="14:20" ht="15.75" customHeight="1">
      <c r="N296" s="111"/>
      <c r="O296" s="111"/>
      <c r="T296" s="111"/>
    </row>
    <row r="297" spans="14:20" ht="15.75" customHeight="1">
      <c r="N297" s="111"/>
      <c r="O297" s="111"/>
      <c r="T297" s="111"/>
    </row>
    <row r="298" spans="14:20" ht="15.75" customHeight="1">
      <c r="N298" s="111"/>
      <c r="O298" s="111"/>
      <c r="T298" s="111"/>
    </row>
    <row r="299" spans="14:20" ht="15.75" customHeight="1">
      <c r="N299" s="111"/>
      <c r="O299" s="111"/>
      <c r="T299" s="111"/>
    </row>
    <row r="300" spans="14:20" ht="15.75" customHeight="1">
      <c r="N300" s="111"/>
      <c r="O300" s="111"/>
      <c r="T300" s="111"/>
    </row>
    <row r="301" spans="14:20" ht="15.75" customHeight="1">
      <c r="N301" s="111"/>
      <c r="O301" s="111"/>
      <c r="T301" s="111"/>
    </row>
    <row r="302" spans="14:20" ht="15.75" customHeight="1">
      <c r="N302" s="111"/>
      <c r="O302" s="111"/>
      <c r="T302" s="111"/>
    </row>
    <row r="303" spans="14:20" ht="15.75" customHeight="1">
      <c r="N303" s="111"/>
      <c r="O303" s="111"/>
      <c r="T303" s="111"/>
    </row>
    <row r="304" spans="14:20" ht="15.75" customHeight="1">
      <c r="N304" s="111"/>
      <c r="O304" s="111"/>
      <c r="T304" s="111"/>
    </row>
    <row r="305" spans="14:20" ht="15.75" customHeight="1">
      <c r="N305" s="111"/>
      <c r="O305" s="111"/>
      <c r="T305" s="111"/>
    </row>
    <row r="306" spans="14:20" ht="15.75" customHeight="1">
      <c r="N306" s="111"/>
      <c r="O306" s="111"/>
      <c r="T306" s="111"/>
    </row>
    <row r="307" spans="14:20" ht="15.75" customHeight="1">
      <c r="N307" s="111"/>
      <c r="O307" s="111"/>
      <c r="T307" s="111"/>
    </row>
    <row r="308" spans="14:20" ht="15.75" customHeight="1">
      <c r="N308" s="111"/>
      <c r="O308" s="111"/>
      <c r="T308" s="111"/>
    </row>
    <row r="309" spans="14:20" ht="15.75" customHeight="1">
      <c r="N309" s="111"/>
      <c r="O309" s="111"/>
      <c r="T309" s="111"/>
    </row>
    <row r="310" spans="14:20" ht="15.75" customHeight="1">
      <c r="N310" s="111"/>
      <c r="O310" s="111"/>
      <c r="T310" s="111"/>
    </row>
    <row r="311" spans="14:20" ht="15.75" customHeight="1">
      <c r="N311" s="111"/>
      <c r="O311" s="111"/>
      <c r="T311" s="111"/>
    </row>
    <row r="312" spans="14:20" ht="15.75" customHeight="1">
      <c r="N312" s="111"/>
      <c r="O312" s="111"/>
      <c r="T312" s="111"/>
    </row>
    <row r="313" spans="14:20" ht="15.75" customHeight="1">
      <c r="N313" s="111"/>
      <c r="O313" s="111"/>
      <c r="T313" s="111"/>
    </row>
    <row r="314" spans="14:20" ht="15.75" customHeight="1">
      <c r="N314" s="111"/>
      <c r="O314" s="111"/>
      <c r="T314" s="111"/>
    </row>
    <row r="315" spans="14:20" ht="15.75" customHeight="1">
      <c r="N315" s="111"/>
      <c r="O315" s="111"/>
      <c r="T315" s="111"/>
    </row>
    <row r="316" spans="14:20" ht="15.75" customHeight="1">
      <c r="N316" s="111"/>
      <c r="O316" s="111"/>
      <c r="T316" s="111"/>
    </row>
    <row r="317" spans="14:20" ht="15.75" customHeight="1">
      <c r="N317" s="111"/>
      <c r="O317" s="111"/>
      <c r="T317" s="111"/>
    </row>
    <row r="318" spans="14:20" ht="15.75" customHeight="1">
      <c r="N318" s="111"/>
      <c r="O318" s="111"/>
      <c r="T318" s="111"/>
    </row>
    <row r="319" spans="14:20" ht="15.75" customHeight="1">
      <c r="N319" s="111"/>
      <c r="O319" s="111"/>
      <c r="T319" s="111"/>
    </row>
    <row r="320" spans="14:20" ht="15.75" customHeight="1">
      <c r="N320" s="111"/>
      <c r="O320" s="111"/>
      <c r="T320" s="111"/>
    </row>
    <row r="321" spans="14:20" ht="15.75" customHeight="1">
      <c r="N321" s="111"/>
      <c r="O321" s="111"/>
      <c r="T321" s="111"/>
    </row>
    <row r="322" spans="14:20" ht="15.75" customHeight="1">
      <c r="N322" s="111"/>
      <c r="O322" s="111"/>
      <c r="T322" s="111"/>
    </row>
    <row r="323" spans="14:20" ht="15.75" customHeight="1">
      <c r="N323" s="111"/>
      <c r="O323" s="111"/>
      <c r="T323" s="111"/>
    </row>
    <row r="324" spans="14:20" ht="15.75" customHeight="1">
      <c r="N324" s="111"/>
      <c r="O324" s="111"/>
      <c r="T324" s="111"/>
    </row>
    <row r="325" spans="14:20" ht="15.75" customHeight="1">
      <c r="N325" s="111"/>
      <c r="O325" s="111"/>
      <c r="T325" s="111"/>
    </row>
    <row r="326" spans="14:20" ht="15.75" customHeight="1">
      <c r="N326" s="111"/>
      <c r="O326" s="111"/>
      <c r="T326" s="111"/>
    </row>
    <row r="327" spans="14:20" ht="15.75" customHeight="1">
      <c r="N327" s="111"/>
      <c r="O327" s="111"/>
      <c r="T327" s="111"/>
    </row>
    <row r="328" spans="14:20" ht="15.75" customHeight="1">
      <c r="N328" s="111"/>
      <c r="O328" s="111"/>
      <c r="T328" s="111"/>
    </row>
    <row r="329" spans="14:20" ht="15.75" customHeight="1">
      <c r="N329" s="111"/>
      <c r="O329" s="111"/>
      <c r="T329" s="111"/>
    </row>
    <row r="330" spans="14:20" ht="15.75" customHeight="1">
      <c r="N330" s="111"/>
      <c r="O330" s="111"/>
      <c r="T330" s="111"/>
    </row>
    <row r="331" spans="14:20" ht="15.75" customHeight="1">
      <c r="N331" s="111"/>
      <c r="O331" s="111"/>
      <c r="T331" s="111"/>
    </row>
    <row r="332" spans="14:20" ht="15.75" customHeight="1">
      <c r="N332" s="111"/>
      <c r="O332" s="111"/>
      <c r="T332" s="111"/>
    </row>
    <row r="333" spans="14:20" ht="15.75" customHeight="1">
      <c r="N333" s="111"/>
      <c r="O333" s="111"/>
      <c r="T333" s="111"/>
    </row>
    <row r="334" spans="14:20" ht="15.75" customHeight="1">
      <c r="N334" s="111"/>
      <c r="O334" s="111"/>
      <c r="T334" s="111"/>
    </row>
    <row r="335" spans="14:20" ht="15.75" customHeight="1">
      <c r="N335" s="111"/>
      <c r="O335" s="111"/>
      <c r="T335" s="111"/>
    </row>
    <row r="336" spans="14:20" ht="15.75" customHeight="1">
      <c r="N336" s="111"/>
      <c r="O336" s="111"/>
      <c r="T336" s="111"/>
    </row>
    <row r="337" spans="14:20" ht="15.75" customHeight="1">
      <c r="N337" s="111"/>
      <c r="O337" s="111"/>
      <c r="T337" s="111"/>
    </row>
    <row r="338" spans="14:20" ht="15.75" customHeight="1">
      <c r="N338" s="111"/>
      <c r="O338" s="111"/>
      <c r="T338" s="111"/>
    </row>
    <row r="339" spans="14:20" ht="15.75" customHeight="1">
      <c r="N339" s="111"/>
      <c r="O339" s="111"/>
      <c r="T339" s="111"/>
    </row>
    <row r="340" spans="14:20" ht="15.75" customHeight="1">
      <c r="N340" s="111"/>
      <c r="O340" s="111"/>
      <c r="T340" s="111"/>
    </row>
    <row r="341" spans="14:20" ht="15.75" customHeight="1">
      <c r="N341" s="111"/>
      <c r="O341" s="111"/>
      <c r="T341" s="111"/>
    </row>
    <row r="342" spans="14:20" ht="15.75" customHeight="1">
      <c r="N342" s="111"/>
      <c r="O342" s="111"/>
      <c r="T342" s="111"/>
    </row>
    <row r="343" spans="14:20" ht="15.75" customHeight="1">
      <c r="N343" s="111"/>
      <c r="O343" s="111"/>
      <c r="T343" s="111"/>
    </row>
    <row r="344" spans="14:20" ht="15.75" customHeight="1">
      <c r="N344" s="111"/>
      <c r="O344" s="111"/>
      <c r="T344" s="111"/>
    </row>
    <row r="345" spans="14:20" ht="15.75" customHeight="1">
      <c r="N345" s="111"/>
      <c r="O345" s="111"/>
      <c r="T345" s="111"/>
    </row>
    <row r="346" spans="14:20" ht="15.75" customHeight="1">
      <c r="N346" s="111"/>
      <c r="O346" s="111"/>
      <c r="T346" s="111"/>
    </row>
    <row r="347" spans="14:20" ht="15.75" customHeight="1">
      <c r="N347" s="111"/>
      <c r="O347" s="111"/>
      <c r="T347" s="111"/>
    </row>
    <row r="348" spans="14:20" ht="15.75" customHeight="1">
      <c r="N348" s="111"/>
      <c r="O348" s="111"/>
      <c r="T348" s="111"/>
    </row>
    <row r="349" spans="14:20" ht="15.75" customHeight="1">
      <c r="N349" s="111"/>
      <c r="O349" s="111"/>
      <c r="T349" s="111"/>
    </row>
    <row r="350" spans="14:20" ht="15.75" customHeight="1">
      <c r="N350" s="111"/>
      <c r="O350" s="111"/>
      <c r="T350" s="111"/>
    </row>
    <row r="351" spans="14:20" ht="15.75" customHeight="1">
      <c r="N351" s="111"/>
      <c r="O351" s="111"/>
      <c r="T351" s="111"/>
    </row>
    <row r="352" spans="14:20" ht="15.75" customHeight="1">
      <c r="N352" s="111"/>
      <c r="O352" s="111"/>
      <c r="T352" s="111"/>
    </row>
    <row r="353" spans="14:20" ht="15.75" customHeight="1">
      <c r="N353" s="111"/>
      <c r="O353" s="111"/>
      <c r="T353" s="111"/>
    </row>
    <row r="354" spans="14:20" ht="15.75" customHeight="1">
      <c r="N354" s="111"/>
      <c r="O354" s="111"/>
      <c r="T354" s="111"/>
    </row>
    <row r="355" spans="14:20" ht="15.75" customHeight="1">
      <c r="N355" s="111"/>
      <c r="O355" s="111"/>
      <c r="T355" s="111"/>
    </row>
    <row r="356" spans="14:20" ht="15.75" customHeight="1">
      <c r="N356" s="111"/>
      <c r="O356" s="111"/>
      <c r="T356" s="111"/>
    </row>
    <row r="357" spans="14:20" ht="15.75" customHeight="1">
      <c r="N357" s="111"/>
      <c r="O357" s="111"/>
      <c r="T357" s="111"/>
    </row>
    <row r="358" spans="14:20" ht="15.75" customHeight="1">
      <c r="N358" s="111"/>
      <c r="O358" s="111"/>
      <c r="T358" s="111"/>
    </row>
    <row r="359" spans="14:20" ht="15.75" customHeight="1">
      <c r="N359" s="111"/>
      <c r="O359" s="111"/>
      <c r="T359" s="111"/>
    </row>
    <row r="360" spans="14:20" ht="15.75" customHeight="1">
      <c r="N360" s="111"/>
      <c r="O360" s="111"/>
      <c r="T360" s="111"/>
    </row>
    <row r="361" spans="14:20" ht="15.75" customHeight="1">
      <c r="N361" s="111"/>
      <c r="O361" s="111"/>
      <c r="T361" s="111"/>
    </row>
    <row r="362" spans="14:20" ht="15.75" customHeight="1">
      <c r="N362" s="111"/>
      <c r="O362" s="111"/>
      <c r="T362" s="111"/>
    </row>
    <row r="363" spans="14:20" ht="15.75" customHeight="1">
      <c r="N363" s="111"/>
      <c r="O363" s="111"/>
      <c r="T363" s="111"/>
    </row>
    <row r="364" spans="14:20" ht="15.75" customHeight="1">
      <c r="N364" s="111"/>
      <c r="O364" s="111"/>
      <c r="T364" s="111"/>
    </row>
    <row r="365" spans="14:20" ht="15.75" customHeight="1">
      <c r="N365" s="111"/>
      <c r="O365" s="111"/>
      <c r="T365" s="111"/>
    </row>
    <row r="366" spans="14:20" ht="15.75" customHeight="1">
      <c r="N366" s="111"/>
      <c r="O366" s="111"/>
      <c r="T366" s="111"/>
    </row>
    <row r="367" spans="14:20" ht="15.75" customHeight="1">
      <c r="N367" s="111"/>
      <c r="O367" s="111"/>
      <c r="T367" s="111"/>
    </row>
    <row r="368" spans="14:20" ht="15.75" customHeight="1">
      <c r="N368" s="111"/>
      <c r="O368" s="111"/>
      <c r="T368" s="111"/>
    </row>
    <row r="369" spans="14:20" ht="15.75" customHeight="1">
      <c r="N369" s="111"/>
      <c r="O369" s="111"/>
      <c r="T369" s="111"/>
    </row>
    <row r="370" spans="14:20" ht="15.75" customHeight="1">
      <c r="N370" s="111"/>
      <c r="O370" s="111"/>
      <c r="T370" s="111"/>
    </row>
    <row r="371" spans="14:20" ht="15.75" customHeight="1">
      <c r="N371" s="111"/>
      <c r="O371" s="111"/>
      <c r="T371" s="111"/>
    </row>
    <row r="372" spans="14:20" ht="15.75" customHeight="1">
      <c r="N372" s="111"/>
      <c r="O372" s="111"/>
      <c r="T372" s="111"/>
    </row>
    <row r="373" spans="14:20" ht="15.75" customHeight="1">
      <c r="N373" s="111"/>
      <c r="O373" s="111"/>
      <c r="T373" s="111"/>
    </row>
    <row r="374" spans="14:20" ht="15.75" customHeight="1">
      <c r="N374" s="111"/>
      <c r="O374" s="111"/>
      <c r="T374" s="111"/>
    </row>
    <row r="375" spans="14:20" ht="15.75" customHeight="1">
      <c r="N375" s="111"/>
      <c r="O375" s="111"/>
      <c r="T375" s="111"/>
    </row>
    <row r="376" spans="14:20" ht="15.75" customHeight="1">
      <c r="N376" s="111"/>
      <c r="O376" s="111"/>
      <c r="T376" s="111"/>
    </row>
    <row r="377" spans="14:20" ht="15.75" customHeight="1">
      <c r="N377" s="111"/>
      <c r="O377" s="111"/>
      <c r="T377" s="111"/>
    </row>
    <row r="378" spans="14:20" ht="15.75" customHeight="1">
      <c r="N378" s="111"/>
      <c r="O378" s="111"/>
      <c r="T378" s="111"/>
    </row>
    <row r="379" spans="14:20" ht="15.75" customHeight="1">
      <c r="N379" s="111"/>
      <c r="O379" s="111"/>
      <c r="T379" s="111"/>
    </row>
    <row r="380" spans="14:20" ht="15.75" customHeight="1">
      <c r="N380" s="111"/>
      <c r="O380" s="111"/>
      <c r="T380" s="111"/>
    </row>
    <row r="381" spans="14:20" ht="15.75" customHeight="1">
      <c r="N381" s="111"/>
      <c r="O381" s="111"/>
      <c r="T381" s="111"/>
    </row>
    <row r="382" spans="14:20" ht="15.75" customHeight="1">
      <c r="N382" s="111"/>
      <c r="O382" s="111"/>
      <c r="T382" s="111"/>
    </row>
    <row r="383" spans="14:20" ht="15.75" customHeight="1">
      <c r="N383" s="111"/>
      <c r="O383" s="111"/>
      <c r="T383" s="111"/>
    </row>
    <row r="384" spans="14:20" ht="15.75" customHeight="1">
      <c r="N384" s="111"/>
      <c r="O384" s="111"/>
      <c r="T384" s="111"/>
    </row>
    <row r="385" spans="14:20" ht="15.75" customHeight="1">
      <c r="N385" s="111"/>
      <c r="O385" s="111"/>
      <c r="T385" s="111"/>
    </row>
    <row r="386" spans="14:20" ht="15.75" customHeight="1">
      <c r="N386" s="111"/>
      <c r="O386" s="111"/>
      <c r="T386" s="111"/>
    </row>
    <row r="387" spans="14:20" ht="15.75" customHeight="1">
      <c r="N387" s="111"/>
      <c r="O387" s="111"/>
      <c r="T387" s="111"/>
    </row>
    <row r="388" spans="14:20" ht="15.75" customHeight="1">
      <c r="N388" s="111"/>
      <c r="O388" s="111"/>
      <c r="T388" s="111"/>
    </row>
    <row r="389" spans="14:20" ht="15.75" customHeight="1">
      <c r="N389" s="111"/>
      <c r="O389" s="111"/>
      <c r="T389" s="111"/>
    </row>
    <row r="390" spans="14:20" ht="15.75" customHeight="1">
      <c r="N390" s="111"/>
      <c r="O390" s="111"/>
      <c r="T390" s="111"/>
    </row>
    <row r="391" spans="14:20" ht="15.75" customHeight="1">
      <c r="N391" s="111"/>
      <c r="O391" s="111"/>
      <c r="T391" s="111"/>
    </row>
    <row r="392" spans="14:20" ht="15.75" customHeight="1">
      <c r="N392" s="111"/>
      <c r="O392" s="111"/>
      <c r="T392" s="111"/>
    </row>
    <row r="393" spans="14:20" ht="15.75" customHeight="1">
      <c r="N393" s="111"/>
      <c r="O393" s="111"/>
      <c r="T393" s="111"/>
    </row>
    <row r="394" spans="14:20" ht="15.75" customHeight="1">
      <c r="N394" s="111"/>
      <c r="O394" s="111"/>
      <c r="T394" s="111"/>
    </row>
    <row r="395" spans="14:20" ht="15.75" customHeight="1">
      <c r="N395" s="111"/>
      <c r="O395" s="111"/>
      <c r="T395" s="111"/>
    </row>
    <row r="396" spans="14:20" ht="15.75" customHeight="1">
      <c r="N396" s="111"/>
      <c r="O396" s="111"/>
      <c r="T396" s="111"/>
    </row>
    <row r="397" spans="14:20" ht="15.75" customHeight="1">
      <c r="N397" s="111"/>
      <c r="O397" s="111"/>
      <c r="T397" s="111"/>
    </row>
    <row r="398" spans="14:20" ht="15.75" customHeight="1">
      <c r="N398" s="111"/>
      <c r="O398" s="111"/>
      <c r="T398" s="111"/>
    </row>
    <row r="399" spans="14:20" ht="15.75" customHeight="1">
      <c r="N399" s="111"/>
      <c r="O399" s="111"/>
      <c r="T399" s="111"/>
    </row>
    <row r="400" spans="14:20" ht="15.75" customHeight="1">
      <c r="N400" s="111"/>
      <c r="O400" s="111"/>
      <c r="T400" s="111"/>
    </row>
    <row r="401" spans="14:20" ht="15.75" customHeight="1">
      <c r="N401" s="111"/>
      <c r="O401" s="111"/>
      <c r="T401" s="111"/>
    </row>
    <row r="402" spans="14:20" ht="15.75" customHeight="1">
      <c r="N402" s="111"/>
      <c r="O402" s="111"/>
      <c r="T402" s="111"/>
    </row>
    <row r="403" spans="14:20" ht="15.75" customHeight="1">
      <c r="N403" s="111"/>
      <c r="O403" s="111"/>
      <c r="T403" s="111"/>
    </row>
    <row r="404" spans="14:20" ht="15.75" customHeight="1">
      <c r="N404" s="111"/>
      <c r="O404" s="111"/>
      <c r="T404" s="111"/>
    </row>
    <row r="405" spans="14:20" ht="15.75" customHeight="1">
      <c r="N405" s="111"/>
      <c r="O405" s="111"/>
      <c r="T405" s="111"/>
    </row>
    <row r="406" spans="14:20" ht="15.75" customHeight="1">
      <c r="N406" s="111"/>
      <c r="O406" s="111"/>
      <c r="T406" s="111"/>
    </row>
    <row r="407" spans="14:20" ht="15.75" customHeight="1">
      <c r="N407" s="111"/>
      <c r="O407" s="111"/>
      <c r="T407" s="111"/>
    </row>
    <row r="408" spans="14:20" ht="15.75" customHeight="1">
      <c r="N408" s="111"/>
      <c r="O408" s="111"/>
      <c r="T408" s="111"/>
    </row>
    <row r="409" spans="14:20" ht="15.75" customHeight="1">
      <c r="N409" s="111"/>
      <c r="O409" s="111"/>
      <c r="T409" s="111"/>
    </row>
    <row r="410" spans="14:20" ht="15.75" customHeight="1">
      <c r="N410" s="111"/>
      <c r="O410" s="111"/>
      <c r="T410" s="111"/>
    </row>
    <row r="411" spans="14:20" ht="15.75" customHeight="1">
      <c r="N411" s="111"/>
      <c r="O411" s="111"/>
      <c r="T411" s="111"/>
    </row>
    <row r="412" spans="14:20" ht="15.75" customHeight="1">
      <c r="N412" s="111"/>
      <c r="O412" s="111"/>
      <c r="T412" s="111"/>
    </row>
    <row r="413" spans="14:20" ht="15.75" customHeight="1">
      <c r="N413" s="111"/>
      <c r="O413" s="111"/>
      <c r="T413" s="111"/>
    </row>
    <row r="414" spans="14:20" ht="15.75" customHeight="1">
      <c r="N414" s="111"/>
      <c r="O414" s="111"/>
      <c r="T414" s="111"/>
    </row>
    <row r="415" spans="14:20" ht="15.75" customHeight="1">
      <c r="N415" s="111"/>
      <c r="O415" s="111"/>
      <c r="T415" s="111"/>
    </row>
    <row r="416" spans="14:20" ht="15.75" customHeight="1">
      <c r="N416" s="111"/>
      <c r="O416" s="111"/>
      <c r="T416" s="111"/>
    </row>
    <row r="417" spans="14:20" ht="15.75" customHeight="1">
      <c r="N417" s="111"/>
      <c r="O417" s="111"/>
      <c r="T417" s="111"/>
    </row>
    <row r="418" spans="14:20" ht="15.75" customHeight="1">
      <c r="N418" s="111"/>
      <c r="O418" s="111"/>
      <c r="T418" s="111"/>
    </row>
    <row r="419" spans="14:20" ht="15.75" customHeight="1">
      <c r="N419" s="111"/>
      <c r="O419" s="111"/>
      <c r="T419" s="111"/>
    </row>
    <row r="420" spans="14:20" ht="15.75" customHeight="1">
      <c r="N420" s="111"/>
      <c r="O420" s="111"/>
      <c r="T420" s="111"/>
    </row>
    <row r="421" spans="14:20" ht="15.75" customHeight="1">
      <c r="N421" s="111"/>
      <c r="O421" s="111"/>
      <c r="T421" s="111"/>
    </row>
    <row r="422" spans="14:20" ht="15.75" customHeight="1">
      <c r="N422" s="111"/>
      <c r="O422" s="111"/>
      <c r="T422" s="111"/>
    </row>
    <row r="423" spans="14:20" ht="15.75" customHeight="1">
      <c r="N423" s="111"/>
      <c r="O423" s="111"/>
      <c r="T423" s="111"/>
    </row>
    <row r="424" spans="14:20" ht="15.75" customHeight="1">
      <c r="N424" s="111"/>
      <c r="O424" s="111"/>
      <c r="T424" s="111"/>
    </row>
    <row r="425" spans="14:20" ht="15.75" customHeight="1">
      <c r="N425" s="111"/>
      <c r="O425" s="111"/>
      <c r="T425" s="111"/>
    </row>
    <row r="426" spans="14:20" ht="15.75" customHeight="1">
      <c r="N426" s="111"/>
      <c r="O426" s="111"/>
      <c r="T426" s="111"/>
    </row>
    <row r="427" spans="14:20" ht="15.75" customHeight="1">
      <c r="N427" s="111"/>
      <c r="O427" s="111"/>
      <c r="T427" s="111"/>
    </row>
    <row r="428" spans="14:20" ht="15.75" customHeight="1">
      <c r="N428" s="111"/>
      <c r="O428" s="111"/>
      <c r="T428" s="111"/>
    </row>
    <row r="429" spans="14:20" ht="15.75" customHeight="1">
      <c r="N429" s="111"/>
      <c r="O429" s="111"/>
      <c r="T429" s="111"/>
    </row>
    <row r="430" spans="14:20" ht="15.75" customHeight="1">
      <c r="N430" s="111"/>
      <c r="O430" s="111"/>
      <c r="T430" s="111"/>
    </row>
    <row r="431" spans="14:20" ht="15.75" customHeight="1">
      <c r="N431" s="111"/>
      <c r="O431" s="111"/>
      <c r="T431" s="111"/>
    </row>
    <row r="432" spans="14:20" ht="15.75" customHeight="1">
      <c r="N432" s="111"/>
      <c r="O432" s="111"/>
      <c r="T432" s="111"/>
    </row>
    <row r="433" spans="14:20" ht="15.75" customHeight="1">
      <c r="N433" s="111"/>
      <c r="O433" s="111"/>
      <c r="T433" s="111"/>
    </row>
    <row r="434" spans="14:20" ht="15.75" customHeight="1">
      <c r="N434" s="111"/>
      <c r="O434" s="111"/>
      <c r="T434" s="111"/>
    </row>
    <row r="435" spans="14:20" ht="15.75" customHeight="1">
      <c r="N435" s="111"/>
      <c r="O435" s="111"/>
      <c r="T435" s="111"/>
    </row>
    <row r="436" spans="14:20" ht="15.75" customHeight="1">
      <c r="N436" s="111"/>
      <c r="O436" s="111"/>
      <c r="T436" s="111"/>
    </row>
    <row r="437" spans="14:20" ht="15.75" customHeight="1">
      <c r="N437" s="111"/>
      <c r="O437" s="111"/>
      <c r="T437" s="111"/>
    </row>
    <row r="438" spans="14:20" ht="15.75" customHeight="1">
      <c r="N438" s="111"/>
      <c r="O438" s="111"/>
      <c r="T438" s="111"/>
    </row>
    <row r="439" spans="14:20" ht="15.75" customHeight="1">
      <c r="N439" s="111"/>
      <c r="O439" s="111"/>
      <c r="T439" s="111"/>
    </row>
    <row r="440" spans="14:20" ht="15.75" customHeight="1">
      <c r="N440" s="111"/>
      <c r="O440" s="111"/>
      <c r="T440" s="111"/>
    </row>
    <row r="441" spans="14:20" ht="15.75" customHeight="1">
      <c r="N441" s="111"/>
      <c r="O441" s="111"/>
      <c r="T441" s="111"/>
    </row>
    <row r="442" spans="14:20" ht="15.75" customHeight="1">
      <c r="N442" s="111"/>
      <c r="O442" s="111"/>
      <c r="T442" s="111"/>
    </row>
    <row r="443" spans="14:20" ht="15.75" customHeight="1">
      <c r="N443" s="111"/>
      <c r="O443" s="111"/>
      <c r="T443" s="111"/>
    </row>
    <row r="444" spans="14:20" ht="15.75" customHeight="1">
      <c r="N444" s="111"/>
      <c r="O444" s="111"/>
      <c r="T444" s="111"/>
    </row>
    <row r="445" spans="14:20" ht="15.75" customHeight="1">
      <c r="N445" s="111"/>
      <c r="O445" s="111"/>
      <c r="T445" s="111"/>
    </row>
    <row r="446" spans="14:20" ht="15.75" customHeight="1">
      <c r="N446" s="111"/>
      <c r="O446" s="111"/>
      <c r="T446" s="111"/>
    </row>
    <row r="447" spans="14:20" ht="15.75" customHeight="1">
      <c r="N447" s="111"/>
      <c r="O447" s="111"/>
      <c r="T447" s="111"/>
    </row>
    <row r="448" spans="14:20" ht="15.75" customHeight="1">
      <c r="N448" s="111"/>
      <c r="O448" s="111"/>
      <c r="T448" s="111"/>
    </row>
    <row r="449" spans="14:20" ht="15.75" customHeight="1">
      <c r="N449" s="111"/>
      <c r="O449" s="111"/>
      <c r="T449" s="111"/>
    </row>
    <row r="450" spans="14:20" ht="15.75" customHeight="1">
      <c r="N450" s="111"/>
      <c r="O450" s="111"/>
      <c r="T450" s="111"/>
    </row>
    <row r="451" spans="14:20" ht="15.75" customHeight="1">
      <c r="N451" s="111"/>
      <c r="O451" s="111"/>
      <c r="T451" s="111"/>
    </row>
    <row r="452" spans="14:20" ht="15.75" customHeight="1">
      <c r="N452" s="111"/>
      <c r="O452" s="111"/>
      <c r="T452" s="111"/>
    </row>
    <row r="453" spans="14:20" ht="15.75" customHeight="1">
      <c r="N453" s="111"/>
      <c r="O453" s="111"/>
      <c r="T453" s="111"/>
    </row>
    <row r="454" spans="14:20" ht="15.75" customHeight="1">
      <c r="N454" s="111"/>
      <c r="O454" s="111"/>
      <c r="T454" s="111"/>
    </row>
    <row r="455" spans="14:20" ht="15.75" customHeight="1">
      <c r="N455" s="111"/>
      <c r="O455" s="111"/>
      <c r="T455" s="111"/>
    </row>
    <row r="456" spans="14:20" ht="15.75" customHeight="1">
      <c r="N456" s="111"/>
      <c r="O456" s="111"/>
      <c r="T456" s="111"/>
    </row>
    <row r="457" spans="14:20" ht="15.75" customHeight="1">
      <c r="N457" s="111"/>
      <c r="O457" s="111"/>
      <c r="T457" s="111"/>
    </row>
    <row r="458" spans="14:20" ht="15.75" customHeight="1">
      <c r="N458" s="111"/>
      <c r="O458" s="111"/>
      <c r="T458" s="111"/>
    </row>
    <row r="459" spans="14:20" ht="15.75" customHeight="1">
      <c r="N459" s="111"/>
      <c r="O459" s="111"/>
      <c r="T459" s="111"/>
    </row>
    <row r="460" spans="14:20" ht="15.75" customHeight="1">
      <c r="N460" s="111"/>
      <c r="O460" s="111"/>
      <c r="T460" s="111"/>
    </row>
    <row r="461" spans="14:20" ht="15.75" customHeight="1">
      <c r="N461" s="111"/>
      <c r="O461" s="111"/>
      <c r="T461" s="111"/>
    </row>
    <row r="462" spans="14:20" ht="15.75" customHeight="1">
      <c r="N462" s="111"/>
      <c r="O462" s="111"/>
      <c r="T462" s="111"/>
    </row>
    <row r="463" spans="14:20" ht="15.75" customHeight="1">
      <c r="N463" s="111"/>
      <c r="O463" s="111"/>
      <c r="T463" s="111"/>
    </row>
    <row r="464" spans="14:20" ht="15.75" customHeight="1">
      <c r="N464" s="111"/>
      <c r="O464" s="111"/>
      <c r="T464" s="111"/>
    </row>
    <row r="465" spans="14:20" ht="15.75" customHeight="1">
      <c r="N465" s="111"/>
      <c r="O465" s="111"/>
      <c r="T465" s="111"/>
    </row>
    <row r="466" spans="14:20" ht="15.75" customHeight="1">
      <c r="N466" s="111"/>
      <c r="O466" s="111"/>
      <c r="T466" s="111"/>
    </row>
    <row r="467" spans="14:20" ht="15.75" customHeight="1">
      <c r="N467" s="111"/>
      <c r="O467" s="111"/>
      <c r="T467" s="111"/>
    </row>
    <row r="468" spans="14:20" ht="15.75" customHeight="1">
      <c r="N468" s="111"/>
      <c r="O468" s="111"/>
      <c r="T468" s="111"/>
    </row>
    <row r="469" spans="14:20" ht="15.75" customHeight="1">
      <c r="N469" s="111"/>
      <c r="O469" s="111"/>
      <c r="T469" s="111"/>
    </row>
    <row r="470" spans="14:20" ht="15.75" customHeight="1">
      <c r="N470" s="111"/>
      <c r="O470" s="111"/>
      <c r="T470" s="111"/>
    </row>
    <row r="471" spans="14:20" ht="15.75" customHeight="1">
      <c r="N471" s="111"/>
      <c r="O471" s="111"/>
      <c r="T471" s="111"/>
    </row>
    <row r="472" spans="14:20" ht="15.75" customHeight="1">
      <c r="N472" s="111"/>
      <c r="O472" s="111"/>
      <c r="T472" s="111"/>
    </row>
    <row r="473" spans="14:20" ht="15.75" customHeight="1">
      <c r="N473" s="111"/>
      <c r="O473" s="111"/>
      <c r="T473" s="111"/>
    </row>
    <row r="474" spans="14:20" ht="15.75" customHeight="1">
      <c r="N474" s="111"/>
      <c r="O474" s="111"/>
      <c r="T474" s="111"/>
    </row>
    <row r="475" spans="14:20" ht="15.75" customHeight="1">
      <c r="N475" s="111"/>
      <c r="O475" s="111"/>
      <c r="T475" s="111"/>
    </row>
    <row r="476" spans="14:20" ht="15.75" customHeight="1">
      <c r="N476" s="111"/>
      <c r="O476" s="111"/>
      <c r="T476" s="111"/>
    </row>
    <row r="477" spans="14:20" ht="15.75" customHeight="1">
      <c r="N477" s="111"/>
      <c r="O477" s="111"/>
      <c r="T477" s="111"/>
    </row>
    <row r="478" spans="14:20" ht="15.75" customHeight="1">
      <c r="N478" s="111"/>
      <c r="O478" s="111"/>
      <c r="T478" s="111"/>
    </row>
    <row r="479" spans="14:20" ht="15.75" customHeight="1">
      <c r="N479" s="111"/>
      <c r="O479" s="111"/>
      <c r="T479" s="111"/>
    </row>
    <row r="480" spans="14:20" ht="15.75" customHeight="1">
      <c r="N480" s="111"/>
      <c r="O480" s="111"/>
      <c r="T480" s="111"/>
    </row>
    <row r="481" spans="14:20" ht="15.75" customHeight="1">
      <c r="N481" s="111"/>
      <c r="O481" s="111"/>
      <c r="T481" s="111"/>
    </row>
    <row r="482" spans="14:20" ht="15.75" customHeight="1">
      <c r="N482" s="111"/>
      <c r="O482" s="111"/>
      <c r="T482" s="111"/>
    </row>
    <row r="483" spans="14:20" ht="15.75" customHeight="1">
      <c r="N483" s="111"/>
      <c r="O483" s="111"/>
      <c r="T483" s="111"/>
    </row>
    <row r="484" spans="14:20" ht="15.75" customHeight="1">
      <c r="N484" s="111"/>
      <c r="O484" s="111"/>
      <c r="T484" s="111"/>
    </row>
    <row r="485" spans="14:20" ht="15.75" customHeight="1">
      <c r="N485" s="111"/>
      <c r="O485" s="111"/>
      <c r="T485" s="111"/>
    </row>
    <row r="486" spans="14:20" ht="15.75" customHeight="1">
      <c r="N486" s="111"/>
      <c r="O486" s="111"/>
      <c r="T486" s="111"/>
    </row>
    <row r="487" spans="14:20" ht="15.75" customHeight="1">
      <c r="N487" s="111"/>
      <c r="O487" s="111"/>
      <c r="T487" s="111"/>
    </row>
    <row r="488" spans="14:20" ht="15.75" customHeight="1">
      <c r="N488" s="111"/>
      <c r="O488" s="111"/>
      <c r="T488" s="111"/>
    </row>
    <row r="489" spans="14:20" ht="15.75" customHeight="1">
      <c r="N489" s="111"/>
      <c r="O489" s="111"/>
      <c r="T489" s="111"/>
    </row>
    <row r="490" spans="14:20" ht="15.75" customHeight="1">
      <c r="N490" s="111"/>
      <c r="O490" s="111"/>
      <c r="T490" s="111"/>
    </row>
    <row r="491" spans="14:20" ht="15.75" customHeight="1">
      <c r="N491" s="111"/>
      <c r="O491" s="111"/>
      <c r="T491" s="111"/>
    </row>
    <row r="492" spans="14:20" ht="15.75" customHeight="1">
      <c r="N492" s="111"/>
      <c r="O492" s="111"/>
      <c r="T492" s="111"/>
    </row>
    <row r="493" spans="14:20" ht="15.75" customHeight="1">
      <c r="N493" s="111"/>
      <c r="O493" s="111"/>
      <c r="T493" s="111"/>
    </row>
    <row r="494" spans="14:20" ht="15.75" customHeight="1">
      <c r="N494" s="111"/>
      <c r="O494" s="111"/>
      <c r="T494" s="111"/>
    </row>
    <row r="495" spans="14:20" ht="15.75" customHeight="1">
      <c r="N495" s="111"/>
      <c r="O495" s="111"/>
      <c r="T495" s="111"/>
    </row>
    <row r="496" spans="14:20" ht="15.75" customHeight="1">
      <c r="N496" s="111"/>
      <c r="O496" s="111"/>
      <c r="T496" s="111"/>
    </row>
    <row r="497" spans="14:20" ht="15.75" customHeight="1">
      <c r="N497" s="111"/>
      <c r="O497" s="111"/>
      <c r="T497" s="111"/>
    </row>
    <row r="498" spans="14:20" ht="15.75" customHeight="1">
      <c r="N498" s="111"/>
      <c r="O498" s="111"/>
      <c r="T498" s="111"/>
    </row>
    <row r="499" spans="14:20" ht="15.75" customHeight="1">
      <c r="N499" s="111"/>
      <c r="O499" s="111"/>
      <c r="T499" s="111"/>
    </row>
    <row r="500" spans="14:20" ht="15.75" customHeight="1">
      <c r="N500" s="111"/>
      <c r="O500" s="111"/>
      <c r="T500" s="111"/>
    </row>
    <row r="501" spans="14:20" ht="15.75" customHeight="1">
      <c r="N501" s="111"/>
      <c r="O501" s="111"/>
      <c r="T501" s="111"/>
    </row>
    <row r="502" spans="14:20" ht="15.75" customHeight="1">
      <c r="N502" s="111"/>
      <c r="O502" s="111"/>
      <c r="T502" s="111"/>
    </row>
    <row r="503" spans="14:20" ht="15.75" customHeight="1">
      <c r="N503" s="111"/>
      <c r="O503" s="111"/>
      <c r="T503" s="111"/>
    </row>
    <row r="504" spans="14:20" ht="15.75" customHeight="1">
      <c r="N504" s="111"/>
      <c r="O504" s="111"/>
      <c r="T504" s="111"/>
    </row>
    <row r="505" spans="14:20" ht="15.75" customHeight="1">
      <c r="N505" s="111"/>
      <c r="O505" s="111"/>
      <c r="T505" s="111"/>
    </row>
    <row r="506" spans="14:20" ht="15.75" customHeight="1">
      <c r="N506" s="111"/>
      <c r="O506" s="111"/>
      <c r="T506" s="111"/>
    </row>
    <row r="507" spans="14:20" ht="15.75" customHeight="1">
      <c r="N507" s="111"/>
      <c r="O507" s="111"/>
      <c r="T507" s="111"/>
    </row>
    <row r="508" spans="14:20" ht="15.75" customHeight="1">
      <c r="N508" s="111"/>
      <c r="O508" s="111"/>
      <c r="T508" s="111"/>
    </row>
    <row r="509" spans="14:20" ht="15.75" customHeight="1">
      <c r="N509" s="111"/>
      <c r="O509" s="111"/>
      <c r="T509" s="111"/>
    </row>
    <row r="510" spans="14:20" ht="15.75" customHeight="1">
      <c r="N510" s="111"/>
      <c r="O510" s="111"/>
      <c r="T510" s="111"/>
    </row>
    <row r="511" spans="14:20" ht="15.75" customHeight="1">
      <c r="N511" s="111"/>
      <c r="O511" s="111"/>
      <c r="T511" s="111"/>
    </row>
    <row r="512" spans="14:20" ht="15.75" customHeight="1">
      <c r="N512" s="111"/>
      <c r="O512" s="111"/>
      <c r="T512" s="111"/>
    </row>
    <row r="513" spans="14:20" ht="15.75" customHeight="1">
      <c r="N513" s="111"/>
      <c r="O513" s="111"/>
      <c r="T513" s="111"/>
    </row>
    <row r="514" spans="14:20" ht="15.75" customHeight="1">
      <c r="N514" s="111"/>
      <c r="O514" s="111"/>
      <c r="T514" s="111"/>
    </row>
    <row r="515" spans="14:20" ht="15.75" customHeight="1">
      <c r="N515" s="111"/>
      <c r="O515" s="111"/>
      <c r="T515" s="111"/>
    </row>
    <row r="516" spans="14:20" ht="15.75" customHeight="1">
      <c r="N516" s="111"/>
      <c r="O516" s="111"/>
      <c r="T516" s="111"/>
    </row>
    <row r="517" spans="14:20" ht="15.75" customHeight="1">
      <c r="N517" s="111"/>
      <c r="O517" s="111"/>
      <c r="T517" s="111"/>
    </row>
    <row r="518" spans="14:20" ht="15.75" customHeight="1">
      <c r="N518" s="111"/>
      <c r="O518" s="111"/>
      <c r="T518" s="111"/>
    </row>
    <row r="519" spans="14:20" ht="15.75" customHeight="1">
      <c r="N519" s="111"/>
      <c r="O519" s="111"/>
      <c r="T519" s="111"/>
    </row>
    <row r="520" spans="14:20" ht="15.75" customHeight="1">
      <c r="N520" s="111"/>
      <c r="O520" s="111"/>
      <c r="T520" s="111"/>
    </row>
    <row r="521" spans="14:20" ht="15.75" customHeight="1">
      <c r="N521" s="111"/>
      <c r="O521" s="111"/>
      <c r="T521" s="111"/>
    </row>
    <row r="522" spans="14:20" ht="15.75" customHeight="1">
      <c r="N522" s="111"/>
      <c r="O522" s="111"/>
      <c r="T522" s="111"/>
    </row>
    <row r="523" spans="14:20" ht="15.75" customHeight="1">
      <c r="N523" s="111"/>
      <c r="O523" s="111"/>
      <c r="T523" s="111"/>
    </row>
    <row r="524" spans="14:20" ht="15.75" customHeight="1">
      <c r="N524" s="111"/>
      <c r="O524" s="111"/>
      <c r="T524" s="111"/>
    </row>
    <row r="525" spans="14:20" ht="15.75" customHeight="1">
      <c r="N525" s="111"/>
      <c r="O525" s="111"/>
      <c r="T525" s="111"/>
    </row>
    <row r="526" spans="14:20" ht="15.75" customHeight="1">
      <c r="N526" s="111"/>
      <c r="O526" s="111"/>
      <c r="T526" s="111"/>
    </row>
    <row r="527" spans="14:20" ht="15.75" customHeight="1">
      <c r="N527" s="111"/>
      <c r="O527" s="111"/>
      <c r="T527" s="111"/>
    </row>
    <row r="528" spans="14:20" ht="15.75" customHeight="1">
      <c r="N528" s="111"/>
      <c r="O528" s="111"/>
      <c r="T528" s="111"/>
    </row>
    <row r="529" spans="14:20" ht="15.75" customHeight="1">
      <c r="N529" s="111"/>
      <c r="O529" s="111"/>
      <c r="T529" s="111"/>
    </row>
    <row r="530" spans="14:20" ht="15.75" customHeight="1">
      <c r="N530" s="111"/>
      <c r="O530" s="111"/>
      <c r="T530" s="111"/>
    </row>
    <row r="531" spans="14:20" ht="15.75" customHeight="1">
      <c r="N531" s="111"/>
      <c r="O531" s="111"/>
      <c r="T531" s="111"/>
    </row>
    <row r="532" spans="14:20" ht="15.75" customHeight="1">
      <c r="N532" s="111"/>
      <c r="O532" s="111"/>
      <c r="T532" s="111"/>
    </row>
    <row r="533" spans="14:20" ht="15.75" customHeight="1">
      <c r="N533" s="111"/>
      <c r="O533" s="111"/>
      <c r="T533" s="111"/>
    </row>
    <row r="534" spans="14:20" ht="15.75" customHeight="1">
      <c r="N534" s="111"/>
      <c r="O534" s="111"/>
      <c r="T534" s="111"/>
    </row>
    <row r="535" spans="14:20" ht="15.75" customHeight="1">
      <c r="N535" s="111"/>
      <c r="O535" s="111"/>
      <c r="T535" s="111"/>
    </row>
    <row r="536" spans="14:20" ht="15.75" customHeight="1">
      <c r="N536" s="111"/>
      <c r="O536" s="111"/>
      <c r="T536" s="111"/>
    </row>
    <row r="537" spans="14:20" ht="15.75" customHeight="1">
      <c r="N537" s="111"/>
      <c r="O537" s="111"/>
      <c r="T537" s="111"/>
    </row>
    <row r="538" spans="14:20" ht="15.75" customHeight="1">
      <c r="N538" s="111"/>
      <c r="O538" s="111"/>
      <c r="T538" s="111"/>
    </row>
    <row r="539" spans="14:20" ht="15.75" customHeight="1">
      <c r="N539" s="111"/>
      <c r="O539" s="111"/>
      <c r="T539" s="111"/>
    </row>
    <row r="540" spans="14:20" ht="15.75" customHeight="1">
      <c r="N540" s="111"/>
      <c r="O540" s="111"/>
      <c r="T540" s="111"/>
    </row>
    <row r="541" spans="14:20" ht="15.75" customHeight="1">
      <c r="N541" s="111"/>
      <c r="O541" s="111"/>
      <c r="T541" s="111"/>
    </row>
    <row r="542" spans="14:20" ht="15.75" customHeight="1">
      <c r="N542" s="111"/>
      <c r="O542" s="111"/>
      <c r="T542" s="111"/>
    </row>
    <row r="543" spans="14:20" ht="15.75" customHeight="1">
      <c r="N543" s="111"/>
      <c r="O543" s="111"/>
      <c r="T543" s="111"/>
    </row>
    <row r="544" spans="14:20" ht="15.75" customHeight="1">
      <c r="N544" s="111"/>
      <c r="O544" s="111"/>
      <c r="T544" s="111"/>
    </row>
    <row r="545" spans="14:20" ht="15.75" customHeight="1">
      <c r="N545" s="111"/>
      <c r="O545" s="111"/>
      <c r="T545" s="111"/>
    </row>
    <row r="546" spans="14:20" ht="15.75" customHeight="1">
      <c r="N546" s="111"/>
      <c r="O546" s="111"/>
      <c r="T546" s="111"/>
    </row>
    <row r="547" spans="14:20" ht="15.75" customHeight="1">
      <c r="N547" s="111"/>
      <c r="O547" s="111"/>
      <c r="T547" s="111"/>
    </row>
    <row r="548" spans="14:20" ht="15.75" customHeight="1">
      <c r="N548" s="111"/>
      <c r="O548" s="111"/>
      <c r="T548" s="111"/>
    </row>
    <row r="549" spans="14:20" ht="15.75" customHeight="1">
      <c r="N549" s="111"/>
      <c r="O549" s="111"/>
      <c r="T549" s="111"/>
    </row>
    <row r="550" spans="14:20" ht="15.75" customHeight="1">
      <c r="N550" s="111"/>
      <c r="O550" s="111"/>
      <c r="T550" s="111"/>
    </row>
    <row r="551" spans="14:20" ht="15.75" customHeight="1">
      <c r="N551" s="111"/>
      <c r="O551" s="111"/>
      <c r="T551" s="111"/>
    </row>
    <row r="552" spans="14:20" ht="15.75" customHeight="1">
      <c r="N552" s="111"/>
      <c r="O552" s="111"/>
      <c r="T552" s="111"/>
    </row>
    <row r="553" spans="14:20" ht="15.75" customHeight="1">
      <c r="N553" s="111"/>
      <c r="O553" s="111"/>
      <c r="T553" s="111"/>
    </row>
    <row r="554" spans="14:20" ht="15.75" customHeight="1">
      <c r="N554" s="111"/>
      <c r="O554" s="111"/>
      <c r="T554" s="111"/>
    </row>
    <row r="555" spans="14:20" ht="15.75" customHeight="1">
      <c r="N555" s="111"/>
      <c r="O555" s="111"/>
      <c r="T555" s="111"/>
    </row>
    <row r="556" spans="14:20" ht="15.75" customHeight="1">
      <c r="N556" s="111"/>
      <c r="O556" s="111"/>
      <c r="T556" s="111"/>
    </row>
    <row r="557" spans="14:20" ht="15.75" customHeight="1">
      <c r="N557" s="111"/>
      <c r="O557" s="111"/>
      <c r="T557" s="111"/>
    </row>
    <row r="558" spans="14:20" ht="15.75" customHeight="1">
      <c r="N558" s="111"/>
      <c r="O558" s="111"/>
      <c r="T558" s="111"/>
    </row>
    <row r="559" spans="14:20" ht="15.75" customHeight="1">
      <c r="N559" s="111"/>
      <c r="O559" s="111"/>
      <c r="T559" s="111"/>
    </row>
    <row r="560" spans="14:20" ht="15.75" customHeight="1">
      <c r="N560" s="111"/>
      <c r="O560" s="111"/>
      <c r="T560" s="111"/>
    </row>
    <row r="561" spans="14:20" ht="15.75" customHeight="1">
      <c r="N561" s="111"/>
      <c r="O561" s="111"/>
      <c r="T561" s="111"/>
    </row>
    <row r="562" spans="14:20" ht="15.75" customHeight="1">
      <c r="N562" s="111"/>
      <c r="O562" s="111"/>
      <c r="T562" s="111"/>
    </row>
    <row r="563" spans="14:20" ht="15.75" customHeight="1">
      <c r="N563" s="111"/>
      <c r="O563" s="111"/>
      <c r="T563" s="111"/>
    </row>
    <row r="564" spans="14:20" ht="15.75" customHeight="1">
      <c r="N564" s="111"/>
      <c r="O564" s="111"/>
      <c r="T564" s="111"/>
    </row>
    <row r="565" spans="14:20" ht="15.75" customHeight="1">
      <c r="N565" s="111"/>
      <c r="O565" s="111"/>
      <c r="T565" s="111"/>
    </row>
    <row r="566" spans="14:20" ht="15.75" customHeight="1">
      <c r="N566" s="111"/>
      <c r="O566" s="111"/>
      <c r="T566" s="111"/>
    </row>
    <row r="567" spans="14:20" ht="15.75" customHeight="1">
      <c r="N567" s="111"/>
      <c r="O567" s="111"/>
      <c r="T567" s="111"/>
    </row>
    <row r="568" spans="14:20" ht="15.75" customHeight="1">
      <c r="N568" s="111"/>
      <c r="O568" s="111"/>
      <c r="T568" s="111"/>
    </row>
    <row r="569" spans="14:20" ht="15.75" customHeight="1">
      <c r="N569" s="111"/>
      <c r="O569" s="111"/>
      <c r="T569" s="111"/>
    </row>
    <row r="570" spans="14:20" ht="15.75" customHeight="1">
      <c r="N570" s="111"/>
      <c r="O570" s="111"/>
      <c r="T570" s="111"/>
    </row>
    <row r="571" spans="14:20" ht="15.75" customHeight="1">
      <c r="N571" s="111"/>
      <c r="O571" s="111"/>
      <c r="T571" s="111"/>
    </row>
    <row r="572" spans="14:20" ht="15.75" customHeight="1">
      <c r="N572" s="111"/>
      <c r="O572" s="111"/>
      <c r="T572" s="111"/>
    </row>
    <row r="573" spans="14:20" ht="15.75" customHeight="1">
      <c r="N573" s="111"/>
      <c r="O573" s="111"/>
      <c r="T573" s="111"/>
    </row>
    <row r="574" spans="14:20" ht="15.75" customHeight="1">
      <c r="N574" s="111"/>
      <c r="O574" s="111"/>
      <c r="T574" s="111"/>
    </row>
    <row r="575" spans="14:20" ht="15.75" customHeight="1">
      <c r="N575" s="111"/>
      <c r="O575" s="111"/>
      <c r="T575" s="111"/>
    </row>
    <row r="576" spans="14:20" ht="15.75" customHeight="1">
      <c r="N576" s="111"/>
      <c r="O576" s="111"/>
      <c r="T576" s="111"/>
    </row>
    <row r="577" spans="14:20" ht="15.75" customHeight="1">
      <c r="N577" s="111"/>
      <c r="O577" s="111"/>
      <c r="T577" s="111"/>
    </row>
    <row r="578" spans="14:20" ht="15.75" customHeight="1">
      <c r="N578" s="111"/>
      <c r="O578" s="111"/>
      <c r="T578" s="111"/>
    </row>
    <row r="579" spans="14:20" ht="15.75" customHeight="1">
      <c r="N579" s="111"/>
      <c r="O579" s="111"/>
      <c r="T579" s="111"/>
    </row>
    <row r="580" spans="14:20" ht="15.75" customHeight="1">
      <c r="N580" s="111"/>
      <c r="O580" s="111"/>
      <c r="T580" s="111"/>
    </row>
    <row r="581" spans="14:20" ht="15.75" customHeight="1">
      <c r="N581" s="111"/>
      <c r="O581" s="111"/>
      <c r="T581" s="111"/>
    </row>
    <row r="582" spans="14:20" ht="15.75" customHeight="1">
      <c r="N582" s="111"/>
      <c r="O582" s="111"/>
      <c r="T582" s="111"/>
    </row>
    <row r="583" spans="14:20" ht="15.75" customHeight="1">
      <c r="N583" s="111"/>
      <c r="O583" s="111"/>
      <c r="T583" s="111"/>
    </row>
    <row r="584" spans="14:20" ht="15.75" customHeight="1">
      <c r="N584" s="111"/>
      <c r="O584" s="111"/>
      <c r="T584" s="111"/>
    </row>
    <row r="585" spans="14:20" ht="15.75" customHeight="1">
      <c r="N585" s="111"/>
      <c r="O585" s="111"/>
      <c r="T585" s="111"/>
    </row>
    <row r="586" spans="14:20" ht="15.75" customHeight="1">
      <c r="N586" s="111"/>
      <c r="O586" s="111"/>
      <c r="T586" s="111"/>
    </row>
    <row r="587" spans="14:20" ht="15.75" customHeight="1">
      <c r="N587" s="111"/>
      <c r="O587" s="111"/>
      <c r="T587" s="111"/>
    </row>
    <row r="588" spans="14:20" ht="15.75" customHeight="1">
      <c r="N588" s="111"/>
      <c r="O588" s="111"/>
      <c r="T588" s="111"/>
    </row>
    <row r="589" spans="14:20" ht="15.75" customHeight="1">
      <c r="N589" s="111"/>
      <c r="O589" s="111"/>
      <c r="T589" s="111"/>
    </row>
    <row r="590" spans="14:20" ht="15.75" customHeight="1">
      <c r="N590" s="111"/>
      <c r="O590" s="111"/>
      <c r="T590" s="111"/>
    </row>
    <row r="591" spans="14:20" ht="15.75" customHeight="1">
      <c r="N591" s="111"/>
      <c r="O591" s="111"/>
      <c r="T591" s="111"/>
    </row>
    <row r="592" spans="14:20" ht="15.75" customHeight="1">
      <c r="N592" s="111"/>
      <c r="O592" s="111"/>
      <c r="T592" s="111"/>
    </row>
    <row r="593" spans="14:20" ht="15.75" customHeight="1">
      <c r="N593" s="111"/>
      <c r="O593" s="111"/>
      <c r="T593" s="111"/>
    </row>
    <row r="594" spans="14:20" ht="15.75" customHeight="1">
      <c r="N594" s="111"/>
      <c r="O594" s="111"/>
      <c r="T594" s="111"/>
    </row>
    <row r="595" spans="14:20" ht="15.75" customHeight="1">
      <c r="N595" s="111"/>
      <c r="O595" s="111"/>
      <c r="T595" s="111"/>
    </row>
    <row r="596" spans="14:20" ht="15.75" customHeight="1">
      <c r="N596" s="111"/>
      <c r="O596" s="111"/>
      <c r="T596" s="111"/>
    </row>
    <row r="597" spans="14:20" ht="15.75" customHeight="1">
      <c r="N597" s="111"/>
      <c r="O597" s="111"/>
      <c r="T597" s="111"/>
    </row>
    <row r="598" spans="14:20" ht="15.75" customHeight="1">
      <c r="N598" s="111"/>
      <c r="O598" s="111"/>
      <c r="T598" s="111"/>
    </row>
    <row r="599" spans="14:20" ht="15.75" customHeight="1">
      <c r="N599" s="111"/>
      <c r="O599" s="111"/>
      <c r="T599" s="111"/>
    </row>
    <row r="600" spans="14:20" ht="15.75" customHeight="1">
      <c r="N600" s="111"/>
      <c r="O600" s="111"/>
      <c r="T600" s="111"/>
    </row>
    <row r="601" spans="14:20" ht="15.75" customHeight="1">
      <c r="N601" s="111"/>
      <c r="O601" s="111"/>
      <c r="T601" s="111"/>
    </row>
    <row r="602" spans="14:20" ht="15.75" customHeight="1">
      <c r="N602" s="111"/>
      <c r="O602" s="111"/>
      <c r="T602" s="111"/>
    </row>
    <row r="603" spans="14:20" ht="15.75" customHeight="1">
      <c r="N603" s="111"/>
      <c r="O603" s="111"/>
      <c r="T603" s="111"/>
    </row>
    <row r="604" spans="14:20" ht="15.75" customHeight="1">
      <c r="N604" s="111"/>
      <c r="O604" s="111"/>
      <c r="T604" s="111"/>
    </row>
    <row r="605" spans="14:20" ht="15.75" customHeight="1">
      <c r="N605" s="111"/>
      <c r="O605" s="111"/>
      <c r="T605" s="111"/>
    </row>
    <row r="606" spans="14:20" ht="15.75" customHeight="1">
      <c r="N606" s="111"/>
      <c r="O606" s="111"/>
      <c r="T606" s="111"/>
    </row>
    <row r="607" spans="14:20" ht="15.75" customHeight="1">
      <c r="N607" s="111"/>
      <c r="O607" s="111"/>
      <c r="T607" s="111"/>
    </row>
    <row r="608" spans="14:20" ht="15.75" customHeight="1">
      <c r="N608" s="111"/>
      <c r="O608" s="111"/>
      <c r="T608" s="111"/>
    </row>
    <row r="609" spans="14:20" ht="15.75" customHeight="1">
      <c r="N609" s="111"/>
      <c r="O609" s="111"/>
      <c r="T609" s="111"/>
    </row>
    <row r="610" spans="14:20" ht="15.75" customHeight="1">
      <c r="N610" s="111"/>
      <c r="O610" s="111"/>
      <c r="T610" s="111"/>
    </row>
    <row r="611" spans="14:20" ht="15.75" customHeight="1">
      <c r="N611" s="111"/>
      <c r="O611" s="111"/>
      <c r="T611" s="111"/>
    </row>
    <row r="612" spans="14:20" ht="15.75" customHeight="1">
      <c r="N612" s="111"/>
      <c r="O612" s="111"/>
      <c r="T612" s="111"/>
    </row>
    <row r="613" spans="14:20" ht="15.75" customHeight="1">
      <c r="N613" s="111"/>
      <c r="O613" s="111"/>
      <c r="T613" s="111"/>
    </row>
    <row r="614" spans="14:20" ht="15.75" customHeight="1">
      <c r="N614" s="111"/>
      <c r="O614" s="111"/>
      <c r="T614" s="111"/>
    </row>
    <row r="615" spans="14:20" ht="15.75" customHeight="1">
      <c r="N615" s="111"/>
      <c r="O615" s="111"/>
      <c r="T615" s="111"/>
    </row>
    <row r="616" spans="14:20" ht="15.75" customHeight="1">
      <c r="N616" s="111"/>
      <c r="O616" s="111"/>
      <c r="T616" s="111"/>
    </row>
    <row r="617" spans="14:20" ht="15.75" customHeight="1">
      <c r="N617" s="111"/>
      <c r="O617" s="111"/>
      <c r="T617" s="111"/>
    </row>
    <row r="618" spans="14:20" ht="15.75" customHeight="1">
      <c r="N618" s="111"/>
      <c r="O618" s="111"/>
      <c r="T618" s="111"/>
    </row>
    <row r="619" spans="14:20" ht="15.75" customHeight="1">
      <c r="N619" s="111"/>
      <c r="O619" s="111"/>
      <c r="T619" s="111"/>
    </row>
    <row r="620" spans="14:20" ht="15.75" customHeight="1">
      <c r="N620" s="111"/>
      <c r="O620" s="111"/>
      <c r="T620" s="111"/>
    </row>
    <row r="621" spans="14:20" ht="15.75" customHeight="1">
      <c r="N621" s="111"/>
      <c r="O621" s="111"/>
      <c r="T621" s="111"/>
    </row>
    <row r="622" spans="14:20" ht="15.75" customHeight="1">
      <c r="N622" s="111"/>
      <c r="O622" s="111"/>
      <c r="T622" s="111"/>
    </row>
    <row r="623" spans="14:20" ht="15.75" customHeight="1">
      <c r="N623" s="111"/>
      <c r="O623" s="111"/>
      <c r="T623" s="111"/>
    </row>
    <row r="624" spans="14:20" ht="15.75" customHeight="1">
      <c r="N624" s="111"/>
      <c r="O624" s="111"/>
      <c r="T624" s="111"/>
    </row>
    <row r="625" spans="14:20" ht="15.75" customHeight="1">
      <c r="N625" s="111"/>
      <c r="O625" s="111"/>
      <c r="T625" s="111"/>
    </row>
    <row r="626" spans="14:20" ht="15.75" customHeight="1">
      <c r="N626" s="111"/>
      <c r="O626" s="111"/>
      <c r="T626" s="111"/>
    </row>
    <row r="627" spans="14:20" ht="15.75" customHeight="1">
      <c r="N627" s="111"/>
      <c r="O627" s="111"/>
      <c r="T627" s="111"/>
    </row>
    <row r="628" spans="14:20" ht="15.75" customHeight="1">
      <c r="N628" s="111"/>
      <c r="O628" s="111"/>
      <c r="T628" s="111"/>
    </row>
    <row r="629" spans="14:20" ht="15.75" customHeight="1">
      <c r="N629" s="111"/>
      <c r="O629" s="111"/>
      <c r="T629" s="111"/>
    </row>
    <row r="630" spans="14:20" ht="15.75" customHeight="1">
      <c r="N630" s="111"/>
      <c r="O630" s="111"/>
      <c r="T630" s="111"/>
    </row>
    <row r="631" spans="14:20" ht="15.75" customHeight="1">
      <c r="N631" s="111"/>
      <c r="O631" s="111"/>
      <c r="T631" s="111"/>
    </row>
    <row r="632" spans="14:20" ht="15.75" customHeight="1">
      <c r="N632" s="111"/>
      <c r="O632" s="111"/>
      <c r="T632" s="111"/>
    </row>
    <row r="633" spans="14:20" ht="15.75" customHeight="1">
      <c r="N633" s="111"/>
      <c r="O633" s="111"/>
      <c r="T633" s="111"/>
    </row>
    <row r="634" spans="14:20" ht="15.75" customHeight="1">
      <c r="N634" s="111"/>
      <c r="O634" s="111"/>
      <c r="T634" s="111"/>
    </row>
    <row r="635" spans="14:20" ht="15.75" customHeight="1">
      <c r="N635" s="111"/>
      <c r="O635" s="111"/>
      <c r="T635" s="111"/>
    </row>
    <row r="636" spans="14:20" ht="15.75" customHeight="1">
      <c r="N636" s="111"/>
      <c r="O636" s="111"/>
      <c r="T636" s="111"/>
    </row>
    <row r="637" spans="14:20" ht="15.75" customHeight="1">
      <c r="N637" s="111"/>
      <c r="O637" s="111"/>
      <c r="T637" s="111"/>
    </row>
    <row r="638" spans="14:20" ht="15.75" customHeight="1">
      <c r="N638" s="111"/>
      <c r="O638" s="111"/>
      <c r="T638" s="111"/>
    </row>
    <row r="639" spans="14:20" ht="15.75" customHeight="1">
      <c r="N639" s="111"/>
      <c r="O639" s="111"/>
      <c r="T639" s="111"/>
    </row>
    <row r="640" spans="14:20" ht="15.75" customHeight="1">
      <c r="N640" s="111"/>
      <c r="O640" s="111"/>
      <c r="T640" s="111"/>
    </row>
    <row r="641" spans="14:20" ht="15.75" customHeight="1">
      <c r="N641" s="111"/>
      <c r="O641" s="111"/>
      <c r="T641" s="111"/>
    </row>
    <row r="642" spans="14:20" ht="15.75" customHeight="1">
      <c r="N642" s="111"/>
      <c r="O642" s="111"/>
      <c r="T642" s="111"/>
    </row>
    <row r="643" spans="14:20" ht="15.75" customHeight="1">
      <c r="N643" s="111"/>
      <c r="O643" s="111"/>
      <c r="T643" s="111"/>
    </row>
    <row r="644" spans="14:20" ht="15.75" customHeight="1">
      <c r="N644" s="111"/>
      <c r="O644" s="111"/>
      <c r="T644" s="111"/>
    </row>
    <row r="645" spans="14:20" ht="15.75" customHeight="1">
      <c r="N645" s="111"/>
      <c r="O645" s="111"/>
      <c r="T645" s="111"/>
    </row>
    <row r="646" spans="14:20" ht="15.75" customHeight="1">
      <c r="N646" s="111"/>
      <c r="O646" s="111"/>
      <c r="T646" s="111"/>
    </row>
    <row r="647" spans="14:20" ht="15.75" customHeight="1">
      <c r="N647" s="111"/>
      <c r="O647" s="111"/>
      <c r="T647" s="111"/>
    </row>
    <row r="648" spans="14:20" ht="15.75" customHeight="1">
      <c r="N648" s="111"/>
      <c r="O648" s="111"/>
      <c r="T648" s="111"/>
    </row>
    <row r="649" spans="14:20" ht="15.75" customHeight="1">
      <c r="N649" s="111"/>
      <c r="O649" s="111"/>
      <c r="T649" s="111"/>
    </row>
    <row r="650" spans="14:20" ht="15.75" customHeight="1">
      <c r="N650" s="111"/>
      <c r="O650" s="111"/>
      <c r="T650" s="111"/>
    </row>
    <row r="651" spans="14:20" ht="15.75" customHeight="1">
      <c r="N651" s="111"/>
      <c r="O651" s="111"/>
      <c r="T651" s="111"/>
    </row>
    <row r="652" spans="14:20" ht="15.75" customHeight="1">
      <c r="N652" s="111"/>
      <c r="O652" s="111"/>
      <c r="T652" s="111"/>
    </row>
    <row r="653" spans="14:20" ht="15.75" customHeight="1">
      <c r="N653" s="111"/>
      <c r="O653" s="111"/>
      <c r="T653" s="111"/>
    </row>
    <row r="654" spans="14:20" ht="15.75" customHeight="1">
      <c r="N654" s="111"/>
      <c r="O654" s="111"/>
      <c r="T654" s="111"/>
    </row>
    <row r="655" spans="14:20" ht="15.75" customHeight="1">
      <c r="N655" s="111"/>
      <c r="O655" s="111"/>
      <c r="T655" s="111"/>
    </row>
    <row r="656" spans="14:20" ht="15.75" customHeight="1">
      <c r="N656" s="111"/>
      <c r="O656" s="111"/>
      <c r="T656" s="111"/>
    </row>
    <row r="657" spans="14:20" ht="15.75" customHeight="1">
      <c r="N657" s="111"/>
      <c r="O657" s="111"/>
      <c r="T657" s="111"/>
    </row>
    <row r="658" spans="14:20" ht="15.75" customHeight="1">
      <c r="N658" s="111"/>
      <c r="O658" s="111"/>
      <c r="T658" s="111"/>
    </row>
    <row r="659" spans="14:20" ht="15.75" customHeight="1">
      <c r="N659" s="111"/>
      <c r="O659" s="111"/>
      <c r="T659" s="111"/>
    </row>
    <row r="660" spans="14:20" ht="15.75" customHeight="1">
      <c r="N660" s="111"/>
      <c r="O660" s="111"/>
      <c r="T660" s="111"/>
    </row>
    <row r="661" spans="14:20" ht="15.75" customHeight="1">
      <c r="N661" s="111"/>
      <c r="O661" s="111"/>
      <c r="T661" s="111"/>
    </row>
    <row r="662" spans="14:20" ht="15.75" customHeight="1">
      <c r="N662" s="111"/>
      <c r="O662" s="111"/>
      <c r="T662" s="111"/>
    </row>
    <row r="663" spans="14:20" ht="15.75" customHeight="1">
      <c r="N663" s="111"/>
      <c r="O663" s="111"/>
      <c r="T663" s="111"/>
    </row>
    <row r="664" spans="14:20" ht="15.75" customHeight="1">
      <c r="N664" s="111"/>
      <c r="O664" s="111"/>
      <c r="T664" s="111"/>
    </row>
    <row r="665" spans="14:20" ht="15.75" customHeight="1">
      <c r="N665" s="111"/>
      <c r="O665" s="111"/>
      <c r="T665" s="111"/>
    </row>
    <row r="666" spans="14:20" ht="15.75" customHeight="1">
      <c r="N666" s="111"/>
      <c r="O666" s="111"/>
      <c r="T666" s="111"/>
    </row>
    <row r="667" spans="14:20" ht="15.75" customHeight="1">
      <c r="N667" s="111"/>
      <c r="O667" s="111"/>
      <c r="T667" s="111"/>
    </row>
    <row r="668" spans="14:20" ht="15.75" customHeight="1">
      <c r="N668" s="111"/>
      <c r="O668" s="111"/>
      <c r="T668" s="111"/>
    </row>
    <row r="669" spans="14:20" ht="15.75" customHeight="1">
      <c r="N669" s="111"/>
      <c r="O669" s="111"/>
      <c r="T669" s="111"/>
    </row>
    <row r="670" spans="14:20" ht="15.75" customHeight="1">
      <c r="N670" s="111"/>
      <c r="O670" s="111"/>
      <c r="T670" s="111"/>
    </row>
    <row r="671" spans="14:20" ht="15.75" customHeight="1">
      <c r="N671" s="111"/>
      <c r="O671" s="111"/>
      <c r="T671" s="111"/>
    </row>
    <row r="672" spans="14:20" ht="15.75" customHeight="1">
      <c r="N672" s="111"/>
      <c r="O672" s="111"/>
      <c r="T672" s="111"/>
    </row>
    <row r="673" spans="14:20" ht="15.75" customHeight="1">
      <c r="N673" s="111"/>
      <c r="O673" s="111"/>
      <c r="T673" s="111"/>
    </row>
    <row r="674" spans="14:20" ht="15.75" customHeight="1">
      <c r="N674" s="111"/>
      <c r="O674" s="111"/>
      <c r="T674" s="111"/>
    </row>
    <row r="675" spans="14:20" ht="15.75" customHeight="1">
      <c r="N675" s="111"/>
      <c r="O675" s="111"/>
      <c r="T675" s="111"/>
    </row>
    <row r="676" spans="14:20" ht="15.75" customHeight="1">
      <c r="N676" s="111"/>
      <c r="O676" s="111"/>
      <c r="T676" s="111"/>
    </row>
    <row r="677" spans="14:20" ht="15.75" customHeight="1">
      <c r="N677" s="111"/>
      <c r="O677" s="111"/>
      <c r="T677" s="111"/>
    </row>
    <row r="678" spans="14:20" ht="15.75" customHeight="1">
      <c r="N678" s="111"/>
      <c r="O678" s="111"/>
      <c r="T678" s="111"/>
    </row>
    <row r="679" spans="14:20" ht="15.75" customHeight="1">
      <c r="N679" s="111"/>
      <c r="O679" s="111"/>
      <c r="T679" s="111"/>
    </row>
    <row r="680" spans="14:20" ht="15.75" customHeight="1">
      <c r="N680" s="111"/>
      <c r="O680" s="111"/>
      <c r="T680" s="111"/>
    </row>
    <row r="681" spans="14:20" ht="15.75" customHeight="1">
      <c r="N681" s="111"/>
      <c r="O681" s="111"/>
      <c r="T681" s="111"/>
    </row>
    <row r="682" spans="14:20" ht="15.75" customHeight="1">
      <c r="N682" s="111"/>
      <c r="O682" s="111"/>
      <c r="T682" s="111"/>
    </row>
    <row r="683" spans="14:20" ht="15.75" customHeight="1">
      <c r="N683" s="111"/>
      <c r="O683" s="111"/>
      <c r="T683" s="111"/>
    </row>
    <row r="684" spans="14:20" ht="15.75" customHeight="1">
      <c r="N684" s="111"/>
      <c r="O684" s="111"/>
      <c r="T684" s="111"/>
    </row>
    <row r="685" spans="14:20" ht="15.75" customHeight="1">
      <c r="N685" s="111"/>
      <c r="O685" s="111"/>
      <c r="T685" s="111"/>
    </row>
    <row r="686" spans="14:20" ht="15.75" customHeight="1">
      <c r="N686" s="111"/>
      <c r="O686" s="111"/>
      <c r="T686" s="111"/>
    </row>
    <row r="687" spans="14:20" ht="15.75" customHeight="1">
      <c r="N687" s="111"/>
      <c r="O687" s="111"/>
      <c r="T687" s="111"/>
    </row>
    <row r="688" spans="14:20" ht="15.75" customHeight="1">
      <c r="N688" s="111"/>
      <c r="O688" s="111"/>
      <c r="T688" s="111"/>
    </row>
    <row r="689" spans="14:20" ht="15.75" customHeight="1">
      <c r="N689" s="111"/>
      <c r="O689" s="111"/>
      <c r="T689" s="111"/>
    </row>
    <row r="690" spans="14:20" ht="15.75" customHeight="1">
      <c r="N690" s="111"/>
      <c r="O690" s="111"/>
      <c r="T690" s="111"/>
    </row>
    <row r="691" spans="14:20" ht="15.75" customHeight="1">
      <c r="N691" s="111"/>
      <c r="O691" s="111"/>
      <c r="T691" s="111"/>
    </row>
    <row r="692" spans="14:20" ht="15.75" customHeight="1">
      <c r="N692" s="111"/>
      <c r="O692" s="111"/>
      <c r="T692" s="111"/>
    </row>
    <row r="693" spans="14:20" ht="15.75" customHeight="1">
      <c r="N693" s="111"/>
      <c r="O693" s="111"/>
      <c r="T693" s="111"/>
    </row>
    <row r="694" spans="14:20" ht="15.75" customHeight="1">
      <c r="N694" s="111"/>
      <c r="O694" s="111"/>
      <c r="T694" s="111"/>
    </row>
    <row r="695" spans="14:20" ht="15.75" customHeight="1">
      <c r="N695" s="111"/>
      <c r="O695" s="111"/>
      <c r="T695" s="111"/>
    </row>
    <row r="696" spans="14:20" ht="15.75" customHeight="1">
      <c r="N696" s="111"/>
      <c r="O696" s="111"/>
      <c r="T696" s="111"/>
    </row>
    <row r="697" spans="14:20" ht="15.75" customHeight="1">
      <c r="N697" s="111"/>
      <c r="O697" s="111"/>
      <c r="T697" s="111"/>
    </row>
    <row r="698" spans="14:20" ht="15.75" customHeight="1">
      <c r="N698" s="111"/>
      <c r="O698" s="111"/>
      <c r="T698" s="111"/>
    </row>
    <row r="699" spans="14:20" ht="15.75" customHeight="1">
      <c r="N699" s="111"/>
      <c r="O699" s="111"/>
      <c r="T699" s="111"/>
    </row>
    <row r="700" spans="14:20" ht="15.75" customHeight="1">
      <c r="N700" s="111"/>
      <c r="O700" s="111"/>
      <c r="T700" s="111"/>
    </row>
    <row r="701" spans="14:20" ht="15.75" customHeight="1">
      <c r="N701" s="111"/>
      <c r="O701" s="111"/>
      <c r="T701" s="111"/>
    </row>
    <row r="702" spans="14:20" ht="15.75" customHeight="1">
      <c r="N702" s="111"/>
      <c r="O702" s="111"/>
      <c r="T702" s="111"/>
    </row>
    <row r="703" spans="14:20" ht="15.75" customHeight="1">
      <c r="N703" s="111"/>
      <c r="O703" s="111"/>
      <c r="T703" s="111"/>
    </row>
    <row r="704" spans="14:20" ht="15.75" customHeight="1">
      <c r="N704" s="111"/>
      <c r="O704" s="111"/>
      <c r="T704" s="111"/>
    </row>
    <row r="705" spans="14:20" ht="15.75" customHeight="1">
      <c r="N705" s="111"/>
      <c r="O705" s="111"/>
      <c r="T705" s="111"/>
    </row>
    <row r="706" spans="14:20" ht="15.75" customHeight="1">
      <c r="N706" s="111"/>
      <c r="O706" s="111"/>
      <c r="T706" s="111"/>
    </row>
    <row r="707" spans="14:20" ht="15.75" customHeight="1">
      <c r="N707" s="111"/>
      <c r="O707" s="111"/>
      <c r="T707" s="111"/>
    </row>
    <row r="708" spans="14:20" ht="15.75" customHeight="1">
      <c r="N708" s="111"/>
      <c r="O708" s="111"/>
      <c r="T708" s="111"/>
    </row>
    <row r="709" spans="14:20" ht="15.75" customHeight="1">
      <c r="N709" s="111"/>
      <c r="O709" s="111"/>
      <c r="T709" s="111"/>
    </row>
    <row r="710" spans="14:20" ht="15.75" customHeight="1">
      <c r="N710" s="111"/>
      <c r="O710" s="111"/>
      <c r="T710" s="111"/>
    </row>
    <row r="711" spans="14:20" ht="15.75" customHeight="1">
      <c r="N711" s="111"/>
      <c r="O711" s="111"/>
      <c r="T711" s="111"/>
    </row>
    <row r="712" spans="14:20" ht="15.75" customHeight="1">
      <c r="N712" s="111"/>
      <c r="O712" s="111"/>
      <c r="T712" s="111"/>
    </row>
    <row r="713" spans="14:20" ht="15.75" customHeight="1">
      <c r="N713" s="111"/>
      <c r="O713" s="111"/>
      <c r="T713" s="111"/>
    </row>
    <row r="714" spans="14:20" ht="15.75" customHeight="1">
      <c r="N714" s="111"/>
      <c r="O714" s="111"/>
      <c r="T714" s="111"/>
    </row>
    <row r="715" spans="14:20" ht="15.75" customHeight="1">
      <c r="N715" s="111"/>
      <c r="O715" s="111"/>
      <c r="T715" s="111"/>
    </row>
    <row r="716" spans="14:20" ht="15.75" customHeight="1">
      <c r="N716" s="111"/>
      <c r="O716" s="111"/>
      <c r="T716" s="111"/>
    </row>
    <row r="717" spans="14:20" ht="15.75" customHeight="1">
      <c r="N717" s="111"/>
      <c r="O717" s="111"/>
      <c r="T717" s="111"/>
    </row>
    <row r="718" spans="14:20" ht="15.75" customHeight="1">
      <c r="N718" s="111"/>
      <c r="O718" s="111"/>
      <c r="T718" s="111"/>
    </row>
    <row r="719" spans="14:20" ht="15.75" customHeight="1">
      <c r="N719" s="111"/>
      <c r="O719" s="111"/>
      <c r="T719" s="111"/>
    </row>
    <row r="720" spans="14:20" ht="15.75" customHeight="1">
      <c r="N720" s="111"/>
      <c r="O720" s="111"/>
      <c r="T720" s="111"/>
    </row>
    <row r="721" spans="14:20" ht="15.75" customHeight="1">
      <c r="N721" s="111"/>
      <c r="O721" s="111"/>
      <c r="T721" s="111"/>
    </row>
    <row r="722" spans="14:20" ht="15.75" customHeight="1">
      <c r="N722" s="111"/>
      <c r="O722" s="111"/>
      <c r="T722" s="111"/>
    </row>
    <row r="723" spans="14:20" ht="15.75" customHeight="1">
      <c r="N723" s="111"/>
      <c r="O723" s="111"/>
      <c r="T723" s="111"/>
    </row>
    <row r="724" spans="14:20" ht="15.75" customHeight="1">
      <c r="N724" s="111"/>
      <c r="O724" s="111"/>
      <c r="T724" s="111"/>
    </row>
    <row r="725" spans="14:20" ht="15.75" customHeight="1">
      <c r="N725" s="111"/>
      <c r="O725" s="111"/>
      <c r="T725" s="111"/>
    </row>
    <row r="726" spans="14:20" ht="15.75" customHeight="1">
      <c r="N726" s="111"/>
      <c r="O726" s="111"/>
      <c r="T726" s="111"/>
    </row>
    <row r="727" spans="14:20" ht="15.75" customHeight="1">
      <c r="N727" s="111"/>
      <c r="O727" s="111"/>
      <c r="T727" s="111"/>
    </row>
    <row r="728" spans="14:20" ht="15.75" customHeight="1">
      <c r="N728" s="111"/>
      <c r="O728" s="111"/>
      <c r="T728" s="111"/>
    </row>
    <row r="729" spans="14:20" ht="15.75" customHeight="1">
      <c r="N729" s="111"/>
      <c r="O729" s="111"/>
      <c r="T729" s="111"/>
    </row>
    <row r="730" spans="14:20" ht="15.75" customHeight="1">
      <c r="N730" s="111"/>
      <c r="O730" s="111"/>
      <c r="T730" s="111"/>
    </row>
    <row r="731" spans="14:20" ht="15.75" customHeight="1">
      <c r="N731" s="111"/>
      <c r="O731" s="111"/>
      <c r="T731" s="111"/>
    </row>
    <row r="732" spans="14:20" ht="15.75" customHeight="1">
      <c r="N732" s="111"/>
      <c r="O732" s="111"/>
      <c r="T732" s="111"/>
    </row>
    <row r="733" spans="14:20" ht="15.75" customHeight="1">
      <c r="N733" s="111"/>
      <c r="O733" s="111"/>
      <c r="T733" s="111"/>
    </row>
    <row r="734" spans="14:20" ht="15.75" customHeight="1">
      <c r="N734" s="111"/>
      <c r="O734" s="111"/>
      <c r="T734" s="111"/>
    </row>
    <row r="735" spans="14:20" ht="15.75" customHeight="1">
      <c r="N735" s="111"/>
      <c r="O735" s="111"/>
      <c r="T735" s="111"/>
    </row>
    <row r="736" spans="14:20" ht="15.75" customHeight="1">
      <c r="N736" s="111"/>
      <c r="O736" s="111"/>
      <c r="T736" s="111"/>
    </row>
    <row r="737" spans="14:20" ht="15.75" customHeight="1">
      <c r="N737" s="111"/>
      <c r="O737" s="111"/>
      <c r="T737" s="111"/>
    </row>
    <row r="738" spans="14:20" ht="15.75" customHeight="1">
      <c r="N738" s="111"/>
      <c r="O738" s="111"/>
      <c r="T738" s="111"/>
    </row>
    <row r="739" spans="14:20" ht="15.75" customHeight="1">
      <c r="N739" s="111"/>
      <c r="O739" s="111"/>
      <c r="T739" s="111"/>
    </row>
    <row r="740" spans="14:20" ht="15.75" customHeight="1">
      <c r="N740" s="111"/>
      <c r="O740" s="111"/>
      <c r="T740" s="111"/>
    </row>
    <row r="741" spans="14:20" ht="15.75" customHeight="1">
      <c r="N741" s="111"/>
      <c r="O741" s="111"/>
      <c r="T741" s="111"/>
    </row>
    <row r="742" spans="14:20" ht="15.75" customHeight="1">
      <c r="N742" s="111"/>
      <c r="O742" s="111"/>
      <c r="T742" s="111"/>
    </row>
    <row r="743" spans="14:20" ht="15.75" customHeight="1">
      <c r="N743" s="111"/>
      <c r="O743" s="111"/>
      <c r="T743" s="111"/>
    </row>
    <row r="744" spans="14:20" ht="15.75" customHeight="1">
      <c r="N744" s="111"/>
      <c r="O744" s="111"/>
      <c r="T744" s="111"/>
    </row>
    <row r="745" spans="14:20" ht="15.75" customHeight="1">
      <c r="N745" s="111"/>
      <c r="O745" s="111"/>
      <c r="T745" s="111"/>
    </row>
    <row r="746" spans="14:20" ht="15.75" customHeight="1">
      <c r="N746" s="111"/>
      <c r="O746" s="111"/>
      <c r="T746" s="111"/>
    </row>
    <row r="747" spans="14:20" ht="15.75" customHeight="1">
      <c r="N747" s="111"/>
      <c r="O747" s="111"/>
      <c r="T747" s="111"/>
    </row>
    <row r="748" spans="14:20" ht="15.75" customHeight="1">
      <c r="N748" s="111"/>
      <c r="O748" s="111"/>
      <c r="T748" s="111"/>
    </row>
    <row r="749" spans="14:20" ht="15.75" customHeight="1">
      <c r="N749" s="111"/>
      <c r="O749" s="111"/>
      <c r="T749" s="111"/>
    </row>
    <row r="750" spans="14:20" ht="15.75" customHeight="1">
      <c r="N750" s="111"/>
      <c r="O750" s="111"/>
      <c r="T750" s="111"/>
    </row>
    <row r="751" spans="14:20" ht="15.75" customHeight="1">
      <c r="N751" s="111"/>
      <c r="O751" s="111"/>
      <c r="T751" s="111"/>
    </row>
    <row r="752" spans="14:20" ht="15.75" customHeight="1">
      <c r="N752" s="111"/>
      <c r="O752" s="111"/>
      <c r="T752" s="111"/>
    </row>
    <row r="753" spans="14:20" ht="15.75" customHeight="1">
      <c r="N753" s="111"/>
      <c r="O753" s="111"/>
      <c r="T753" s="111"/>
    </row>
    <row r="754" spans="14:20" ht="15.75" customHeight="1">
      <c r="N754" s="111"/>
      <c r="O754" s="111"/>
      <c r="T754" s="111"/>
    </row>
    <row r="755" spans="14:20" ht="15.75" customHeight="1">
      <c r="N755" s="111"/>
      <c r="O755" s="111"/>
      <c r="T755" s="111"/>
    </row>
    <row r="756" spans="14:20" ht="15.75" customHeight="1">
      <c r="N756" s="111"/>
      <c r="O756" s="111"/>
      <c r="T756" s="111"/>
    </row>
    <row r="757" spans="14:20" ht="15.75" customHeight="1">
      <c r="N757" s="111"/>
      <c r="O757" s="111"/>
      <c r="T757" s="111"/>
    </row>
    <row r="758" spans="14:20" ht="15.75" customHeight="1">
      <c r="N758" s="111"/>
      <c r="O758" s="111"/>
      <c r="T758" s="111"/>
    </row>
    <row r="759" spans="14:20" ht="15.75" customHeight="1">
      <c r="N759" s="111"/>
      <c r="O759" s="111"/>
      <c r="T759" s="111"/>
    </row>
    <row r="760" spans="14:20" ht="15.75" customHeight="1">
      <c r="N760" s="111"/>
      <c r="O760" s="111"/>
      <c r="T760" s="111"/>
    </row>
    <row r="761" spans="14:20" ht="15.75" customHeight="1">
      <c r="N761" s="111"/>
      <c r="O761" s="111"/>
      <c r="T761" s="111"/>
    </row>
    <row r="762" spans="14:20" ht="15.75" customHeight="1">
      <c r="N762" s="111"/>
      <c r="O762" s="111"/>
      <c r="T762" s="111"/>
    </row>
    <row r="763" spans="14:20" ht="15.75" customHeight="1">
      <c r="N763" s="111"/>
      <c r="O763" s="111"/>
      <c r="T763" s="111"/>
    </row>
    <row r="764" spans="14:20" ht="15.75" customHeight="1">
      <c r="N764" s="111"/>
      <c r="O764" s="111"/>
      <c r="T764" s="111"/>
    </row>
    <row r="765" spans="14:20" ht="15.75" customHeight="1">
      <c r="N765" s="111"/>
      <c r="O765" s="111"/>
      <c r="T765" s="111"/>
    </row>
    <row r="766" spans="14:20" ht="15.75" customHeight="1">
      <c r="N766" s="111"/>
      <c r="O766" s="111"/>
      <c r="T766" s="111"/>
    </row>
    <row r="767" spans="14:20" ht="15.75" customHeight="1">
      <c r="N767" s="111"/>
      <c r="O767" s="111"/>
      <c r="T767" s="111"/>
    </row>
    <row r="768" spans="14:20" ht="15.75" customHeight="1">
      <c r="N768" s="111"/>
      <c r="O768" s="111"/>
      <c r="T768" s="111"/>
    </row>
    <row r="769" spans="14:20" ht="15.75" customHeight="1">
      <c r="N769" s="111"/>
      <c r="O769" s="111"/>
      <c r="T769" s="111"/>
    </row>
    <row r="770" spans="14:20" ht="15.75" customHeight="1">
      <c r="N770" s="111"/>
      <c r="O770" s="111"/>
      <c r="T770" s="111"/>
    </row>
    <row r="771" spans="14:20" ht="15.75" customHeight="1">
      <c r="N771" s="111"/>
      <c r="O771" s="111"/>
      <c r="T771" s="111"/>
    </row>
    <row r="772" spans="14:20" ht="15.75" customHeight="1">
      <c r="N772" s="111"/>
      <c r="O772" s="111"/>
      <c r="T772" s="111"/>
    </row>
    <row r="773" spans="14:20" ht="15.75" customHeight="1">
      <c r="N773" s="111"/>
      <c r="O773" s="111"/>
      <c r="T773" s="111"/>
    </row>
    <row r="774" spans="14:20" ht="15.75" customHeight="1">
      <c r="N774" s="111"/>
      <c r="O774" s="111"/>
      <c r="T774" s="111"/>
    </row>
    <row r="775" spans="14:20" ht="15.75" customHeight="1">
      <c r="N775" s="111"/>
      <c r="O775" s="111"/>
      <c r="T775" s="111"/>
    </row>
    <row r="776" spans="14:20" ht="15.75" customHeight="1">
      <c r="N776" s="111"/>
      <c r="O776" s="111"/>
      <c r="T776" s="111"/>
    </row>
    <row r="777" spans="14:20" ht="15.75" customHeight="1">
      <c r="N777" s="111"/>
      <c r="O777" s="111"/>
      <c r="T777" s="111"/>
    </row>
    <row r="778" spans="14:20" ht="15.75" customHeight="1">
      <c r="N778" s="111"/>
      <c r="O778" s="111"/>
      <c r="T778" s="111"/>
    </row>
    <row r="779" spans="14:20" ht="15.75" customHeight="1">
      <c r="N779" s="111"/>
      <c r="O779" s="111"/>
      <c r="T779" s="111"/>
    </row>
    <row r="780" spans="14:20" ht="15.75" customHeight="1">
      <c r="N780" s="111"/>
      <c r="O780" s="111"/>
      <c r="T780" s="111"/>
    </row>
    <row r="781" spans="14:20" ht="15.75" customHeight="1">
      <c r="N781" s="111"/>
      <c r="O781" s="111"/>
      <c r="T781" s="111"/>
    </row>
    <row r="782" spans="14:20" ht="15.75" customHeight="1">
      <c r="N782" s="111"/>
      <c r="O782" s="111"/>
      <c r="T782" s="111"/>
    </row>
    <row r="783" spans="14:20" ht="15.75" customHeight="1">
      <c r="N783" s="111"/>
      <c r="O783" s="111"/>
      <c r="T783" s="111"/>
    </row>
    <row r="784" spans="14:20" ht="15.75" customHeight="1">
      <c r="N784" s="111"/>
      <c r="O784" s="111"/>
      <c r="T784" s="111"/>
    </row>
    <row r="785" spans="14:20" ht="15.75" customHeight="1">
      <c r="N785" s="111"/>
      <c r="O785" s="111"/>
      <c r="T785" s="111"/>
    </row>
    <row r="786" spans="14:20" ht="15.75" customHeight="1">
      <c r="N786" s="111"/>
      <c r="O786" s="111"/>
      <c r="T786" s="111"/>
    </row>
    <row r="787" spans="14:20" ht="15.75" customHeight="1">
      <c r="N787" s="111"/>
      <c r="O787" s="111"/>
      <c r="T787" s="111"/>
    </row>
    <row r="788" spans="14:20" ht="15.75" customHeight="1">
      <c r="N788" s="111"/>
      <c r="O788" s="111"/>
      <c r="T788" s="111"/>
    </row>
    <row r="789" spans="14:20" ht="15.75" customHeight="1">
      <c r="N789" s="111"/>
      <c r="O789" s="111"/>
      <c r="T789" s="111"/>
    </row>
    <row r="790" spans="14:20" ht="15.75" customHeight="1">
      <c r="N790" s="111"/>
      <c r="O790" s="111"/>
      <c r="T790" s="111"/>
    </row>
    <row r="791" spans="14:20" ht="15.75" customHeight="1">
      <c r="N791" s="111"/>
      <c r="O791" s="111"/>
      <c r="T791" s="111"/>
    </row>
    <row r="792" spans="14:20" ht="15.75" customHeight="1">
      <c r="N792" s="111"/>
      <c r="O792" s="111"/>
      <c r="T792" s="111"/>
    </row>
    <row r="793" spans="14:20" ht="15.75" customHeight="1">
      <c r="N793" s="111"/>
      <c r="O793" s="111"/>
      <c r="T793" s="111"/>
    </row>
    <row r="794" spans="14:20" ht="15.75" customHeight="1">
      <c r="N794" s="111"/>
      <c r="O794" s="111"/>
      <c r="T794" s="111"/>
    </row>
    <row r="795" spans="14:20" ht="15.75" customHeight="1">
      <c r="N795" s="111"/>
      <c r="O795" s="111"/>
      <c r="T795" s="111"/>
    </row>
    <row r="796" spans="14:20" ht="15.75" customHeight="1">
      <c r="N796" s="111"/>
      <c r="O796" s="111"/>
      <c r="T796" s="111"/>
    </row>
    <row r="797" spans="14:20" ht="15.75" customHeight="1">
      <c r="N797" s="111"/>
      <c r="O797" s="111"/>
      <c r="T797" s="111"/>
    </row>
    <row r="798" spans="14:20" ht="15.75" customHeight="1">
      <c r="N798" s="111"/>
      <c r="O798" s="111"/>
      <c r="T798" s="111"/>
    </row>
    <row r="799" spans="14:20" ht="15.75" customHeight="1">
      <c r="N799" s="111"/>
      <c r="O799" s="111"/>
      <c r="T799" s="111"/>
    </row>
    <row r="800" spans="14:20" ht="15.75" customHeight="1">
      <c r="N800" s="111"/>
      <c r="O800" s="111"/>
      <c r="T800" s="111"/>
    </row>
    <row r="801" spans="14:20" ht="15.75" customHeight="1">
      <c r="N801" s="111"/>
      <c r="O801" s="111"/>
      <c r="T801" s="111"/>
    </row>
    <row r="802" spans="14:20" ht="15.75" customHeight="1">
      <c r="N802" s="111"/>
      <c r="O802" s="111"/>
      <c r="T802" s="111"/>
    </row>
    <row r="803" spans="14:20" ht="15.75" customHeight="1">
      <c r="N803" s="111"/>
      <c r="O803" s="111"/>
      <c r="T803" s="111"/>
    </row>
    <row r="804" spans="14:20" ht="15.75" customHeight="1">
      <c r="N804" s="111"/>
      <c r="O804" s="111"/>
      <c r="T804" s="111"/>
    </row>
    <row r="805" spans="14:20" ht="15.75" customHeight="1">
      <c r="N805" s="111"/>
      <c r="O805" s="111"/>
      <c r="T805" s="111"/>
    </row>
    <row r="806" spans="14:20" ht="15.75" customHeight="1">
      <c r="N806" s="111"/>
      <c r="O806" s="111"/>
      <c r="T806" s="111"/>
    </row>
    <row r="807" spans="14:20" ht="15.75" customHeight="1">
      <c r="N807" s="111"/>
      <c r="O807" s="111"/>
      <c r="T807" s="111"/>
    </row>
    <row r="808" spans="14:20" ht="15.75" customHeight="1">
      <c r="N808" s="111"/>
      <c r="O808" s="111"/>
      <c r="T808" s="111"/>
    </row>
    <row r="809" spans="14:20" ht="15.75" customHeight="1">
      <c r="N809" s="111"/>
      <c r="O809" s="111"/>
      <c r="T809" s="111"/>
    </row>
    <row r="810" spans="14:20" ht="15.75" customHeight="1">
      <c r="N810" s="111"/>
      <c r="O810" s="111"/>
      <c r="T810" s="111"/>
    </row>
    <row r="811" spans="14:20" ht="15.75" customHeight="1">
      <c r="N811" s="111"/>
      <c r="O811" s="111"/>
      <c r="T811" s="111"/>
    </row>
    <row r="812" spans="14:20" ht="15.75" customHeight="1">
      <c r="N812" s="111"/>
      <c r="O812" s="111"/>
      <c r="T812" s="111"/>
    </row>
    <row r="813" spans="14:20" ht="15.75" customHeight="1">
      <c r="N813" s="111"/>
      <c r="O813" s="111"/>
      <c r="T813" s="111"/>
    </row>
    <row r="814" spans="14:20" ht="15.75" customHeight="1">
      <c r="N814" s="111"/>
      <c r="O814" s="111"/>
      <c r="T814" s="111"/>
    </row>
    <row r="815" spans="14:20" ht="15.75" customHeight="1">
      <c r="N815" s="111"/>
      <c r="O815" s="111"/>
      <c r="T815" s="111"/>
    </row>
    <row r="816" spans="14:20" ht="15.75" customHeight="1">
      <c r="N816" s="111"/>
      <c r="O816" s="111"/>
      <c r="T816" s="111"/>
    </row>
    <row r="817" spans="14:20" ht="15.75" customHeight="1">
      <c r="N817" s="111"/>
      <c r="O817" s="111"/>
      <c r="T817" s="111"/>
    </row>
    <row r="818" spans="14:20" ht="15.75" customHeight="1">
      <c r="N818" s="111"/>
      <c r="O818" s="111"/>
      <c r="T818" s="111"/>
    </row>
    <row r="819" spans="14:20" ht="15.75" customHeight="1">
      <c r="N819" s="111"/>
      <c r="O819" s="111"/>
      <c r="T819" s="111"/>
    </row>
    <row r="820" spans="14:20" ht="15.75" customHeight="1">
      <c r="N820" s="111"/>
      <c r="O820" s="111"/>
      <c r="T820" s="111"/>
    </row>
    <row r="821" spans="14:20" ht="15.75" customHeight="1">
      <c r="N821" s="111"/>
      <c r="O821" s="111"/>
      <c r="T821" s="111"/>
    </row>
    <row r="822" spans="14:20" ht="15.75" customHeight="1">
      <c r="N822" s="111"/>
      <c r="O822" s="111"/>
      <c r="T822" s="111"/>
    </row>
    <row r="823" spans="14:20" ht="15.75" customHeight="1">
      <c r="N823" s="111"/>
      <c r="O823" s="111"/>
      <c r="T823" s="111"/>
    </row>
    <row r="824" spans="14:20" ht="15.75" customHeight="1">
      <c r="N824" s="111"/>
      <c r="O824" s="111"/>
      <c r="T824" s="111"/>
    </row>
    <row r="825" spans="14:20" ht="15.75" customHeight="1">
      <c r="N825" s="111"/>
      <c r="O825" s="111"/>
      <c r="T825" s="111"/>
    </row>
    <row r="826" spans="14:20" ht="15.75" customHeight="1">
      <c r="N826" s="111"/>
      <c r="O826" s="111"/>
      <c r="T826" s="111"/>
    </row>
    <row r="827" spans="14:20" ht="15.75" customHeight="1">
      <c r="N827" s="111"/>
      <c r="O827" s="111"/>
      <c r="T827" s="111"/>
    </row>
    <row r="828" spans="14:20" ht="15.75" customHeight="1">
      <c r="N828" s="111"/>
      <c r="O828" s="111"/>
      <c r="T828" s="111"/>
    </row>
    <row r="829" spans="14:20" ht="15.75" customHeight="1">
      <c r="N829" s="111"/>
      <c r="O829" s="111"/>
      <c r="T829" s="111"/>
    </row>
    <row r="830" spans="14:20" ht="15.75" customHeight="1">
      <c r="N830" s="111"/>
      <c r="O830" s="111"/>
      <c r="T830" s="111"/>
    </row>
    <row r="831" spans="14:20" ht="15.75" customHeight="1">
      <c r="N831" s="111"/>
      <c r="O831" s="111"/>
      <c r="T831" s="111"/>
    </row>
    <row r="832" spans="14:20" ht="15.75" customHeight="1">
      <c r="N832" s="111"/>
      <c r="O832" s="111"/>
      <c r="T832" s="111"/>
    </row>
    <row r="833" spans="14:20" ht="15.75" customHeight="1">
      <c r="N833" s="111"/>
      <c r="O833" s="111"/>
      <c r="T833" s="111"/>
    </row>
    <row r="834" spans="14:20" ht="15.75" customHeight="1">
      <c r="N834" s="111"/>
      <c r="O834" s="111"/>
      <c r="T834" s="111"/>
    </row>
    <row r="835" spans="14:20" ht="15.75" customHeight="1">
      <c r="N835" s="111"/>
      <c r="O835" s="111"/>
      <c r="T835" s="111"/>
    </row>
    <row r="836" spans="14:20" ht="15.75" customHeight="1">
      <c r="N836" s="111"/>
      <c r="O836" s="111"/>
      <c r="T836" s="111"/>
    </row>
    <row r="837" spans="14:20" ht="15.75" customHeight="1">
      <c r="N837" s="111"/>
      <c r="O837" s="111"/>
      <c r="T837" s="111"/>
    </row>
    <row r="838" spans="14:20" ht="15.75" customHeight="1">
      <c r="N838" s="111"/>
      <c r="O838" s="111"/>
      <c r="T838" s="111"/>
    </row>
    <row r="839" spans="14:20" ht="15.75" customHeight="1">
      <c r="N839" s="111"/>
      <c r="O839" s="111"/>
      <c r="T839" s="111"/>
    </row>
    <row r="840" spans="14:20" ht="15.75" customHeight="1">
      <c r="N840" s="111"/>
      <c r="O840" s="111"/>
      <c r="T840" s="111"/>
    </row>
    <row r="841" spans="14:20" ht="15.75" customHeight="1">
      <c r="N841" s="111"/>
      <c r="O841" s="111"/>
      <c r="T841" s="111"/>
    </row>
    <row r="842" spans="14:20" ht="15.75" customHeight="1">
      <c r="N842" s="111"/>
      <c r="O842" s="111"/>
      <c r="T842" s="111"/>
    </row>
    <row r="843" spans="14:20" ht="15.75" customHeight="1">
      <c r="N843" s="111"/>
      <c r="O843" s="111"/>
      <c r="T843" s="111"/>
    </row>
    <row r="844" spans="14:20" ht="15.75" customHeight="1">
      <c r="N844" s="111"/>
      <c r="O844" s="111"/>
      <c r="T844" s="111"/>
    </row>
    <row r="845" spans="14:20" ht="15.75" customHeight="1">
      <c r="N845" s="111"/>
      <c r="O845" s="111"/>
      <c r="T845" s="111"/>
    </row>
    <row r="846" spans="14:20" ht="15.75" customHeight="1">
      <c r="N846" s="111"/>
      <c r="O846" s="111"/>
      <c r="T846" s="111"/>
    </row>
    <row r="847" spans="14:20" ht="15.75" customHeight="1">
      <c r="N847" s="111"/>
      <c r="O847" s="111"/>
      <c r="T847" s="111"/>
    </row>
    <row r="848" spans="14:20" ht="15.75" customHeight="1">
      <c r="N848" s="111"/>
      <c r="O848" s="111"/>
      <c r="T848" s="111"/>
    </row>
    <row r="849" spans="14:20" ht="15.75" customHeight="1">
      <c r="N849" s="111"/>
      <c r="O849" s="111"/>
      <c r="T849" s="111"/>
    </row>
    <row r="850" spans="14:20" ht="15.75" customHeight="1">
      <c r="N850" s="111"/>
      <c r="O850" s="111"/>
      <c r="T850" s="111"/>
    </row>
    <row r="851" spans="14:20" ht="15.75" customHeight="1">
      <c r="N851" s="111"/>
      <c r="O851" s="111"/>
      <c r="T851" s="111"/>
    </row>
    <row r="852" spans="14:20" ht="15.75" customHeight="1">
      <c r="N852" s="111"/>
      <c r="O852" s="111"/>
      <c r="T852" s="111"/>
    </row>
    <row r="853" spans="14:20" ht="15.75" customHeight="1">
      <c r="N853" s="111"/>
      <c r="O853" s="111"/>
      <c r="T853" s="111"/>
    </row>
    <row r="854" spans="14:20" ht="15.75" customHeight="1">
      <c r="N854" s="111"/>
      <c r="O854" s="111"/>
      <c r="T854" s="111"/>
    </row>
    <row r="855" spans="14:20" ht="15.75" customHeight="1">
      <c r="N855" s="111"/>
      <c r="O855" s="111"/>
      <c r="T855" s="111"/>
    </row>
    <row r="856" spans="14:20" ht="15.75" customHeight="1">
      <c r="N856" s="111"/>
      <c r="O856" s="111"/>
      <c r="T856" s="111"/>
    </row>
    <row r="857" spans="14:20" ht="15.75" customHeight="1">
      <c r="N857" s="111"/>
      <c r="O857" s="111"/>
      <c r="T857" s="111"/>
    </row>
    <row r="858" spans="14:20" ht="15.75" customHeight="1">
      <c r="N858" s="111"/>
      <c r="O858" s="111"/>
      <c r="T858" s="111"/>
    </row>
    <row r="859" spans="14:20" ht="15.75" customHeight="1">
      <c r="N859" s="111"/>
      <c r="O859" s="111"/>
      <c r="T859" s="111"/>
    </row>
    <row r="860" spans="14:20" ht="15.75" customHeight="1">
      <c r="N860" s="111"/>
      <c r="O860" s="111"/>
      <c r="T860" s="111"/>
    </row>
    <row r="861" spans="14:20" ht="15.75" customHeight="1">
      <c r="N861" s="111"/>
      <c r="O861" s="111"/>
      <c r="T861" s="111"/>
    </row>
    <row r="862" spans="14:20" ht="15.75" customHeight="1">
      <c r="N862" s="111"/>
      <c r="O862" s="111"/>
      <c r="T862" s="111"/>
    </row>
    <row r="863" spans="14:20" ht="15.75" customHeight="1">
      <c r="N863" s="111"/>
      <c r="O863" s="111"/>
      <c r="T863" s="111"/>
    </row>
    <row r="864" spans="14:20" ht="15.75" customHeight="1">
      <c r="N864" s="111"/>
      <c r="O864" s="111"/>
      <c r="T864" s="111"/>
    </row>
    <row r="865" spans="14:20" ht="15.75" customHeight="1">
      <c r="N865" s="111"/>
      <c r="O865" s="111"/>
      <c r="T865" s="111"/>
    </row>
    <row r="866" spans="14:20" ht="15.75" customHeight="1">
      <c r="N866" s="111"/>
      <c r="O866" s="111"/>
      <c r="T866" s="111"/>
    </row>
    <row r="867" spans="14:20" ht="15.75" customHeight="1">
      <c r="N867" s="111"/>
      <c r="O867" s="111"/>
      <c r="T867" s="111"/>
    </row>
    <row r="868" spans="14:20" ht="15.75" customHeight="1">
      <c r="N868" s="111"/>
      <c r="O868" s="111"/>
      <c r="T868" s="111"/>
    </row>
    <row r="869" spans="14:20" ht="15.75" customHeight="1">
      <c r="N869" s="111"/>
      <c r="O869" s="111"/>
      <c r="T869" s="111"/>
    </row>
    <row r="870" spans="14:20" ht="15.75" customHeight="1">
      <c r="N870" s="111"/>
      <c r="O870" s="111"/>
      <c r="T870" s="111"/>
    </row>
    <row r="871" spans="14:20" ht="15.75" customHeight="1">
      <c r="N871" s="111"/>
      <c r="O871" s="111"/>
      <c r="T871" s="111"/>
    </row>
    <row r="872" spans="14:20" ht="15.75" customHeight="1">
      <c r="N872" s="111"/>
      <c r="O872" s="111"/>
      <c r="T872" s="111"/>
    </row>
    <row r="873" spans="14:20" ht="15.75" customHeight="1">
      <c r="N873" s="111"/>
      <c r="O873" s="111"/>
      <c r="T873" s="111"/>
    </row>
    <row r="874" spans="14:20" ht="15.75" customHeight="1">
      <c r="N874" s="111"/>
      <c r="O874" s="111"/>
      <c r="T874" s="111"/>
    </row>
    <row r="875" spans="14:20" ht="15.75" customHeight="1">
      <c r="N875" s="111"/>
      <c r="O875" s="111"/>
      <c r="T875" s="111"/>
    </row>
    <row r="876" spans="14:20" ht="15.75" customHeight="1">
      <c r="N876" s="111"/>
      <c r="O876" s="111"/>
      <c r="T876" s="111"/>
    </row>
    <row r="877" spans="14:20" ht="15.75" customHeight="1">
      <c r="N877" s="111"/>
      <c r="O877" s="111"/>
      <c r="T877" s="111"/>
    </row>
    <row r="878" spans="14:20" ht="15.75" customHeight="1">
      <c r="N878" s="111"/>
      <c r="O878" s="111"/>
      <c r="T878" s="111"/>
    </row>
    <row r="879" spans="14:20" ht="15.75" customHeight="1">
      <c r="N879" s="111"/>
      <c r="O879" s="111"/>
      <c r="T879" s="111"/>
    </row>
    <row r="880" spans="14:20" ht="15.75" customHeight="1">
      <c r="N880" s="111"/>
      <c r="O880" s="111"/>
      <c r="T880" s="111"/>
    </row>
    <row r="881" spans="14:20" ht="15.75" customHeight="1">
      <c r="N881" s="111"/>
      <c r="O881" s="111"/>
      <c r="T881" s="111"/>
    </row>
    <row r="882" spans="14:20" ht="15.75" customHeight="1">
      <c r="N882" s="111"/>
      <c r="O882" s="111"/>
      <c r="T882" s="111"/>
    </row>
    <row r="883" spans="14:20" ht="15.75" customHeight="1">
      <c r="N883" s="111"/>
      <c r="O883" s="111"/>
      <c r="T883" s="111"/>
    </row>
    <row r="884" spans="14:20" ht="15.75" customHeight="1">
      <c r="N884" s="111"/>
      <c r="O884" s="111"/>
      <c r="T884" s="111"/>
    </row>
    <row r="885" spans="14:20" ht="15.75" customHeight="1">
      <c r="N885" s="111"/>
      <c r="O885" s="111"/>
      <c r="T885" s="111"/>
    </row>
    <row r="886" spans="14:20" ht="15.75" customHeight="1">
      <c r="N886" s="111"/>
      <c r="O886" s="111"/>
      <c r="T886" s="111"/>
    </row>
    <row r="887" spans="14:20" ht="15.75" customHeight="1">
      <c r="N887" s="111"/>
      <c r="O887" s="111"/>
      <c r="T887" s="111"/>
    </row>
    <row r="888" spans="14:20" ht="15.75" customHeight="1">
      <c r="N888" s="111"/>
      <c r="O888" s="111"/>
      <c r="T888" s="111"/>
    </row>
    <row r="889" spans="14:20" ht="15.75" customHeight="1">
      <c r="N889" s="111"/>
      <c r="O889" s="111"/>
      <c r="T889" s="111"/>
    </row>
    <row r="890" spans="14:20" ht="15.75" customHeight="1">
      <c r="N890" s="111"/>
      <c r="O890" s="111"/>
      <c r="T890" s="111"/>
    </row>
    <row r="891" spans="14:20" ht="15.75" customHeight="1">
      <c r="N891" s="111"/>
      <c r="O891" s="111"/>
      <c r="T891" s="111"/>
    </row>
    <row r="892" spans="14:20" ht="15.75" customHeight="1">
      <c r="N892" s="111"/>
      <c r="O892" s="111"/>
      <c r="T892" s="111"/>
    </row>
    <row r="893" spans="14:20" ht="15.75" customHeight="1">
      <c r="N893" s="111"/>
      <c r="O893" s="111"/>
      <c r="T893" s="111"/>
    </row>
    <row r="894" spans="14:20" ht="15.75" customHeight="1">
      <c r="N894" s="111"/>
      <c r="O894" s="111"/>
      <c r="T894" s="111"/>
    </row>
    <row r="895" spans="14:20" ht="15.75" customHeight="1">
      <c r="N895" s="111"/>
      <c r="O895" s="111"/>
      <c r="T895" s="111"/>
    </row>
    <row r="896" spans="14:20" ht="15.75" customHeight="1">
      <c r="N896" s="111"/>
      <c r="O896" s="111"/>
      <c r="T896" s="111"/>
    </row>
    <row r="897" spans="14:20" ht="15.75" customHeight="1">
      <c r="N897" s="111"/>
      <c r="O897" s="111"/>
      <c r="T897" s="111"/>
    </row>
    <row r="898" spans="14:20" ht="15.75" customHeight="1">
      <c r="N898" s="111"/>
      <c r="O898" s="111"/>
      <c r="T898" s="111"/>
    </row>
    <row r="899" spans="14:20" ht="15.75" customHeight="1">
      <c r="N899" s="111"/>
      <c r="O899" s="111"/>
      <c r="T899" s="111"/>
    </row>
    <row r="900" spans="14:20" ht="15.75" customHeight="1">
      <c r="N900" s="111"/>
      <c r="O900" s="111"/>
      <c r="T900" s="111"/>
    </row>
    <row r="901" spans="14:20" ht="15.75" customHeight="1">
      <c r="N901" s="111"/>
      <c r="O901" s="111"/>
      <c r="T901" s="111"/>
    </row>
    <row r="902" spans="14:20" ht="15.75" customHeight="1">
      <c r="N902" s="111"/>
      <c r="O902" s="111"/>
      <c r="T902" s="111"/>
    </row>
    <row r="903" spans="14:20" ht="15.75" customHeight="1">
      <c r="N903" s="111"/>
      <c r="O903" s="111"/>
      <c r="T903" s="111"/>
    </row>
    <row r="904" spans="14:20" ht="15.75" customHeight="1">
      <c r="N904" s="111"/>
      <c r="O904" s="111"/>
      <c r="T904" s="111"/>
    </row>
    <row r="905" spans="14:20" ht="15.75" customHeight="1">
      <c r="N905" s="111"/>
      <c r="O905" s="111"/>
      <c r="T905" s="111"/>
    </row>
    <row r="906" spans="14:20" ht="15.75" customHeight="1">
      <c r="N906" s="111"/>
      <c r="O906" s="111"/>
      <c r="T906" s="111"/>
    </row>
    <row r="907" spans="14:20" ht="15.75" customHeight="1">
      <c r="N907" s="111"/>
      <c r="O907" s="111"/>
      <c r="T907" s="111"/>
    </row>
    <row r="908" spans="14:20" ht="15.75" customHeight="1">
      <c r="N908" s="111"/>
      <c r="O908" s="111"/>
      <c r="T908" s="111"/>
    </row>
    <row r="909" spans="14:20" ht="15.75" customHeight="1">
      <c r="N909" s="111"/>
      <c r="O909" s="111"/>
      <c r="T909" s="111"/>
    </row>
    <row r="910" spans="14:20" ht="15.75" customHeight="1">
      <c r="N910" s="111"/>
      <c r="O910" s="111"/>
      <c r="T910" s="111"/>
    </row>
    <row r="911" spans="14:20" ht="15.75" customHeight="1">
      <c r="N911" s="111"/>
      <c r="O911" s="111"/>
      <c r="T911" s="111"/>
    </row>
    <row r="912" spans="14:20" ht="15.75" customHeight="1">
      <c r="N912" s="111"/>
      <c r="O912" s="111"/>
      <c r="T912" s="111"/>
    </row>
    <row r="913" spans="14:20" ht="15.75" customHeight="1">
      <c r="N913" s="111"/>
      <c r="O913" s="111"/>
      <c r="T913" s="111"/>
    </row>
    <row r="914" spans="14:20" ht="15.75" customHeight="1">
      <c r="N914" s="111"/>
      <c r="O914" s="111"/>
      <c r="T914" s="111"/>
    </row>
    <row r="915" spans="14:20" ht="15.75" customHeight="1">
      <c r="N915" s="111"/>
      <c r="O915" s="111"/>
      <c r="T915" s="111"/>
    </row>
    <row r="916" spans="14:20" ht="15.75" customHeight="1">
      <c r="N916" s="111"/>
      <c r="O916" s="111"/>
      <c r="T916" s="111"/>
    </row>
    <row r="917" spans="14:20" ht="15.75" customHeight="1">
      <c r="N917" s="111"/>
      <c r="O917" s="111"/>
      <c r="T917" s="111"/>
    </row>
    <row r="918" spans="14:20" ht="15.75" customHeight="1">
      <c r="N918" s="111"/>
      <c r="O918" s="111"/>
      <c r="T918" s="111"/>
    </row>
    <row r="919" spans="14:20" ht="15.75" customHeight="1">
      <c r="N919" s="111"/>
      <c r="O919" s="111"/>
      <c r="T919" s="111"/>
    </row>
    <row r="920" spans="14:20" ht="15.75" customHeight="1">
      <c r="N920" s="111"/>
      <c r="O920" s="111"/>
      <c r="T920" s="111"/>
    </row>
    <row r="921" spans="14:20" ht="15.75" customHeight="1">
      <c r="N921" s="111"/>
      <c r="O921" s="111"/>
      <c r="T921" s="111"/>
    </row>
    <row r="922" spans="14:20" ht="15.75" customHeight="1">
      <c r="N922" s="111"/>
      <c r="O922" s="111"/>
      <c r="T922" s="111"/>
    </row>
    <row r="923" spans="14:20" ht="15.75" customHeight="1">
      <c r="N923" s="111"/>
      <c r="O923" s="111"/>
      <c r="T923" s="111"/>
    </row>
    <row r="924" spans="14:20" ht="15.75" customHeight="1">
      <c r="N924" s="111"/>
      <c r="O924" s="111"/>
      <c r="T924" s="111"/>
    </row>
    <row r="925" spans="14:20" ht="15.75" customHeight="1">
      <c r="N925" s="111"/>
      <c r="O925" s="111"/>
      <c r="T925" s="111"/>
    </row>
    <row r="926" spans="14:20" ht="15.75" customHeight="1">
      <c r="N926" s="111"/>
      <c r="O926" s="111"/>
      <c r="T926" s="111"/>
    </row>
    <row r="927" spans="14:20" ht="15.75" customHeight="1">
      <c r="N927" s="111"/>
      <c r="O927" s="111"/>
      <c r="T927" s="111"/>
    </row>
    <row r="928" spans="14:20" ht="15.75" customHeight="1">
      <c r="N928" s="111"/>
      <c r="O928" s="111"/>
      <c r="T928" s="111"/>
    </row>
    <row r="929" spans="14:20" ht="15.75" customHeight="1">
      <c r="N929" s="111"/>
      <c r="O929" s="111"/>
      <c r="T929" s="111"/>
    </row>
    <row r="930" spans="14:20" ht="15.75" customHeight="1">
      <c r="N930" s="111"/>
      <c r="O930" s="111"/>
      <c r="T930" s="111"/>
    </row>
    <row r="931" spans="14:20" ht="15.75" customHeight="1">
      <c r="N931" s="111"/>
      <c r="O931" s="111"/>
      <c r="T931" s="111"/>
    </row>
    <row r="932" spans="14:20" ht="15.75" customHeight="1">
      <c r="N932" s="111"/>
      <c r="O932" s="111"/>
      <c r="T932" s="111"/>
    </row>
    <row r="933" spans="14:20" ht="15.75" customHeight="1">
      <c r="N933" s="111"/>
      <c r="O933" s="111"/>
      <c r="T933" s="111"/>
    </row>
    <row r="934" spans="14:20" ht="15.75" customHeight="1">
      <c r="N934" s="111"/>
      <c r="O934" s="111"/>
      <c r="T934" s="111"/>
    </row>
    <row r="935" spans="14:20" ht="15.75" customHeight="1">
      <c r="N935" s="111"/>
      <c r="O935" s="111"/>
      <c r="T935" s="111"/>
    </row>
    <row r="936" spans="14:20" ht="15.75" customHeight="1">
      <c r="N936" s="111"/>
      <c r="O936" s="111"/>
      <c r="T936" s="111"/>
    </row>
    <row r="937" spans="14:20" ht="15.75" customHeight="1">
      <c r="N937" s="111"/>
      <c r="O937" s="111"/>
      <c r="T937" s="111"/>
    </row>
    <row r="938" spans="14:20" ht="15.75" customHeight="1">
      <c r="N938" s="111"/>
      <c r="O938" s="111"/>
      <c r="T938" s="111"/>
    </row>
    <row r="939" spans="14:20" ht="15.75" customHeight="1">
      <c r="N939" s="111"/>
      <c r="O939" s="111"/>
      <c r="T939" s="111"/>
    </row>
    <row r="940" spans="14:20" ht="15.75" customHeight="1">
      <c r="N940" s="111"/>
      <c r="O940" s="111"/>
      <c r="T940" s="111"/>
    </row>
    <row r="941" spans="14:20" ht="15.75" customHeight="1">
      <c r="N941" s="111"/>
      <c r="O941" s="111"/>
      <c r="T941" s="111"/>
    </row>
    <row r="942" spans="14:20" ht="15.75" customHeight="1">
      <c r="N942" s="111"/>
      <c r="O942" s="111"/>
      <c r="T942" s="111"/>
    </row>
    <row r="943" spans="14:20" ht="15.75" customHeight="1">
      <c r="N943" s="111"/>
      <c r="O943" s="111"/>
      <c r="T943" s="111"/>
    </row>
    <row r="944" spans="14:20" ht="15.75" customHeight="1">
      <c r="N944" s="111"/>
      <c r="O944" s="111"/>
      <c r="T944" s="111"/>
    </row>
    <row r="945" spans="14:20" ht="15.75" customHeight="1">
      <c r="N945" s="111"/>
      <c r="O945" s="111"/>
      <c r="T945" s="111"/>
    </row>
    <row r="946" spans="14:20" ht="15.75" customHeight="1">
      <c r="N946" s="111"/>
      <c r="O946" s="111"/>
      <c r="T946" s="111"/>
    </row>
    <row r="947" spans="14:20" ht="15.75" customHeight="1">
      <c r="N947" s="111"/>
      <c r="O947" s="111"/>
      <c r="T947" s="111"/>
    </row>
    <row r="948" spans="14:20" ht="15.75" customHeight="1">
      <c r="N948" s="111"/>
      <c r="O948" s="111"/>
      <c r="T948" s="111"/>
    </row>
    <row r="949" spans="14:20" ht="15.75" customHeight="1">
      <c r="N949" s="111"/>
      <c r="O949" s="111"/>
      <c r="T949" s="111"/>
    </row>
    <row r="950" spans="14:20" ht="15.75" customHeight="1">
      <c r="N950" s="111"/>
      <c r="O950" s="111"/>
      <c r="T950" s="111"/>
    </row>
    <row r="951" spans="14:20" ht="15.75" customHeight="1">
      <c r="N951" s="111"/>
      <c r="O951" s="111"/>
      <c r="T951" s="111"/>
    </row>
    <row r="952" spans="14:20" ht="15.75" customHeight="1">
      <c r="N952" s="111"/>
      <c r="O952" s="111"/>
      <c r="T952" s="111"/>
    </row>
    <row r="953" spans="14:20" ht="15.75" customHeight="1">
      <c r="N953" s="111"/>
      <c r="O953" s="111"/>
      <c r="T953" s="111"/>
    </row>
    <row r="954" spans="14:20" ht="15.75" customHeight="1">
      <c r="N954" s="111"/>
      <c r="O954" s="111"/>
      <c r="T954" s="111"/>
    </row>
    <row r="955" spans="14:20" ht="15.75" customHeight="1">
      <c r="N955" s="111"/>
      <c r="O955" s="111"/>
      <c r="T955" s="111"/>
    </row>
    <row r="956" spans="14:20" ht="15.75" customHeight="1">
      <c r="N956" s="111"/>
      <c r="O956" s="111"/>
      <c r="T956" s="111"/>
    </row>
    <row r="957" spans="14:20" ht="15.75" customHeight="1">
      <c r="N957" s="111"/>
      <c r="O957" s="111"/>
      <c r="T957" s="111"/>
    </row>
    <row r="958" spans="14:20" ht="15.75" customHeight="1">
      <c r="N958" s="111"/>
      <c r="O958" s="111"/>
      <c r="T958" s="111"/>
    </row>
    <row r="959" spans="14:20" ht="15.75" customHeight="1">
      <c r="N959" s="111"/>
      <c r="O959" s="111"/>
      <c r="T959" s="111"/>
    </row>
    <row r="960" spans="14:20" ht="15.75" customHeight="1">
      <c r="N960" s="111"/>
      <c r="O960" s="111"/>
      <c r="T960" s="111"/>
    </row>
    <row r="961" spans="14:20" ht="15.75" customHeight="1">
      <c r="N961" s="111"/>
      <c r="O961" s="111"/>
      <c r="T961" s="111"/>
    </row>
    <row r="962" spans="14:20" ht="15.75" customHeight="1">
      <c r="N962" s="111"/>
      <c r="O962" s="111"/>
      <c r="T962" s="111"/>
    </row>
    <row r="963" spans="14:20" ht="15.75" customHeight="1">
      <c r="N963" s="111"/>
      <c r="O963" s="111"/>
      <c r="T963" s="111"/>
    </row>
    <row r="964" spans="14:20" ht="15.75" customHeight="1">
      <c r="N964" s="111"/>
      <c r="O964" s="111"/>
      <c r="T964" s="111"/>
    </row>
    <row r="965" spans="14:20" ht="15.75" customHeight="1">
      <c r="N965" s="111"/>
      <c r="O965" s="111"/>
      <c r="T965" s="111"/>
    </row>
    <row r="966" spans="14:20" ht="15.75" customHeight="1">
      <c r="N966" s="111"/>
      <c r="O966" s="111"/>
      <c r="T966" s="111"/>
    </row>
    <row r="967" spans="14:20" ht="15.75" customHeight="1">
      <c r="N967" s="111"/>
      <c r="O967" s="111"/>
      <c r="T967" s="111"/>
    </row>
    <row r="968" spans="14:20" ht="15.75" customHeight="1">
      <c r="N968" s="111"/>
      <c r="O968" s="111"/>
      <c r="T968" s="111"/>
    </row>
    <row r="969" spans="14:20" ht="15.75" customHeight="1">
      <c r="N969" s="111"/>
      <c r="O969" s="111"/>
      <c r="T969" s="111"/>
    </row>
    <row r="970" spans="14:20" ht="15.75" customHeight="1">
      <c r="N970" s="111"/>
      <c r="O970" s="111"/>
      <c r="T970" s="111"/>
    </row>
    <row r="971" spans="14:20" ht="15.75" customHeight="1">
      <c r="N971" s="111"/>
      <c r="O971" s="111"/>
      <c r="T971" s="111"/>
    </row>
    <row r="972" spans="14:20" ht="15.75" customHeight="1">
      <c r="N972" s="111"/>
      <c r="O972" s="111"/>
      <c r="T972" s="111"/>
    </row>
    <row r="973" spans="14:20" ht="15.75" customHeight="1">
      <c r="N973" s="111"/>
      <c r="O973" s="111"/>
      <c r="T973" s="111"/>
    </row>
    <row r="974" spans="14:20" ht="15.75" customHeight="1">
      <c r="N974" s="111"/>
      <c r="O974" s="111"/>
      <c r="T974" s="111"/>
    </row>
    <row r="975" spans="14:20" ht="15.75" customHeight="1">
      <c r="N975" s="111"/>
      <c r="O975" s="111"/>
      <c r="T975" s="111"/>
    </row>
    <row r="976" spans="14:20" ht="15.75" customHeight="1">
      <c r="N976" s="111"/>
      <c r="O976" s="111"/>
      <c r="T976" s="111"/>
    </row>
    <row r="977" spans="14:20" ht="15.75" customHeight="1">
      <c r="N977" s="111"/>
      <c r="O977" s="111"/>
      <c r="T977" s="111"/>
    </row>
    <row r="978" spans="14:20" ht="15.75" customHeight="1">
      <c r="N978" s="111"/>
      <c r="O978" s="111"/>
      <c r="T978" s="111"/>
    </row>
    <row r="979" spans="14:20" ht="15.75" customHeight="1">
      <c r="N979" s="111"/>
      <c r="O979" s="111"/>
      <c r="T979" s="111"/>
    </row>
    <row r="980" spans="14:20" ht="15.75" customHeight="1">
      <c r="N980" s="111"/>
      <c r="O980" s="111"/>
      <c r="T980" s="111"/>
    </row>
    <row r="981" spans="14:20" ht="15.75" customHeight="1">
      <c r="N981" s="111"/>
      <c r="O981" s="111"/>
      <c r="T981" s="111"/>
    </row>
    <row r="982" spans="14:20" ht="15.75" customHeight="1">
      <c r="N982" s="111"/>
      <c r="O982" s="111"/>
      <c r="T982" s="111"/>
    </row>
    <row r="983" spans="14:20" ht="15.75" customHeight="1">
      <c r="N983" s="111"/>
      <c r="O983" s="111"/>
      <c r="T983" s="111"/>
    </row>
    <row r="984" spans="14:20" ht="15.75" customHeight="1">
      <c r="N984" s="111"/>
      <c r="O984" s="111"/>
      <c r="T984" s="111"/>
    </row>
    <row r="985" spans="14:20" ht="15.75" customHeight="1">
      <c r="N985" s="111"/>
      <c r="O985" s="111"/>
      <c r="T985" s="111"/>
    </row>
    <row r="986" spans="14:20" ht="15.75" customHeight="1">
      <c r="N986" s="111"/>
      <c r="O986" s="111"/>
      <c r="T986" s="111"/>
    </row>
    <row r="987" spans="14:20" ht="15.75" customHeight="1">
      <c r="N987" s="111"/>
      <c r="O987" s="111"/>
      <c r="T987" s="111"/>
    </row>
    <row r="988" spans="14:20" ht="15.75" customHeight="1">
      <c r="O988" s="111"/>
      <c r="T988" s="111"/>
    </row>
    <row r="989" spans="14:20" ht="15.75" customHeight="1">
      <c r="O989" s="111"/>
      <c r="T989" s="111"/>
    </row>
    <row r="990" spans="14:20" ht="15.75" customHeight="1">
      <c r="O990" s="111"/>
      <c r="T990" s="111"/>
    </row>
    <row r="991" spans="14:20" ht="15.75" customHeight="1">
      <c r="O991" s="111"/>
      <c r="T991" s="111"/>
    </row>
    <row r="992" spans="14:20" ht="15.75" customHeight="1">
      <c r="O992" s="111"/>
      <c r="T992" s="111"/>
    </row>
    <row r="993" spans="15:20" ht="15.75" customHeight="1">
      <c r="O993" s="111"/>
      <c r="T993" s="111"/>
    </row>
    <row r="994" spans="15:20" ht="15.75" customHeight="1">
      <c r="O994" s="111"/>
    </row>
    <row r="995" spans="15:20" ht="15.75" customHeight="1">
      <c r="O995" s="111"/>
    </row>
    <row r="996" spans="15:20" ht="15.75" customHeight="1">
      <c r="O996" s="111"/>
    </row>
    <row r="997" spans="15:20" ht="15.75" customHeight="1">
      <c r="O997" s="111"/>
    </row>
    <row r="998" spans="15:20" ht="15.75" customHeight="1">
      <c r="O998" s="111"/>
    </row>
    <row r="999" spans="15:20" ht="15.75" customHeight="1">
      <c r="O999" s="111"/>
    </row>
    <row r="1000" spans="15:20" ht="15.75" customHeight="1">
      <c r="O1000" s="111"/>
    </row>
    <row r="1001" spans="15:20" ht="15.75" customHeight="1">
      <c r="O1001" s="111"/>
    </row>
    <row r="1002" spans="15:20" ht="15.75" customHeight="1">
      <c r="O1002" s="111"/>
    </row>
    <row r="1003" spans="15:20" ht="15.75" customHeight="1">
      <c r="O1003" s="111"/>
    </row>
    <row r="1004" spans="15:20" ht="15.75" customHeight="1"/>
    <row r="1005" spans="15:20" ht="15.75" customHeight="1"/>
    <row r="1006" spans="15:20" ht="15.75" customHeight="1"/>
    <row r="1007" spans="15:20" ht="15.75" customHeight="1"/>
    <row r="1008" spans="15:20" ht="15.75" customHeight="1"/>
  </sheetData>
  <customSheetViews>
    <customSheetView guid="{BABFE4BE-0059-45E6-A31A-F8C0A1E5D0D9}" filter="1" showAutoFilter="1">
      <autoFilter ref="S35:W61" xr:uid="{A5B53C22-98DE-4419-B7D9-DF57A930E39A}"/>
    </customSheetView>
  </customSheetViews>
  <mergeCells count="7">
    <mergeCell ref="B26:D26"/>
    <mergeCell ref="B75:H75"/>
    <mergeCell ref="A2:AE8"/>
    <mergeCell ref="B10:C10"/>
    <mergeCell ref="I11:M11"/>
    <mergeCell ref="I20:K20"/>
    <mergeCell ref="I21:K2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94"/>
  <sheetViews>
    <sheetView workbookViewId="0"/>
  </sheetViews>
  <sheetFormatPr defaultColWidth="12.625" defaultRowHeight="15" customHeight="1"/>
  <cols>
    <col min="1" max="1" width="2.625" customWidth="1"/>
    <col min="2" max="2" width="17.875" customWidth="1"/>
    <col min="4" max="4" width="14.5" customWidth="1"/>
    <col min="8" max="8" width="20.75" customWidth="1"/>
  </cols>
  <sheetData>
    <row r="1" spans="1:27" ht="69" customHeight="1">
      <c r="A1" s="154" t="s">
        <v>287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5"/>
    </row>
    <row r="2" spans="1:27">
      <c r="A2" s="128"/>
      <c r="B2" s="196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</row>
    <row r="3" spans="1:27">
      <c r="A3" s="128"/>
      <c r="B3" s="197" t="s">
        <v>260</v>
      </c>
      <c r="C3" s="119"/>
      <c r="D3" s="119"/>
      <c r="E3" s="119"/>
      <c r="F3" s="119"/>
      <c r="G3" s="119"/>
      <c r="H3" s="119"/>
      <c r="J3" s="113"/>
    </row>
    <row r="4" spans="1:27">
      <c r="A4" s="198"/>
      <c r="B4" s="199" t="s">
        <v>288</v>
      </c>
      <c r="C4" s="114" t="s">
        <v>289</v>
      </c>
      <c r="D4" s="114" t="s">
        <v>290</v>
      </c>
      <c r="E4" s="114" t="s">
        <v>291</v>
      </c>
      <c r="F4" s="114" t="s">
        <v>292</v>
      </c>
      <c r="G4" s="114" t="s">
        <v>293</v>
      </c>
      <c r="H4" s="114" t="s">
        <v>294</v>
      </c>
    </row>
    <row r="5" spans="1:27">
      <c r="A5" s="96"/>
      <c r="B5" s="100" t="s">
        <v>295</v>
      </c>
      <c r="C5" s="115">
        <v>749</v>
      </c>
      <c r="D5" s="115">
        <v>19</v>
      </c>
      <c r="E5" s="115">
        <v>35</v>
      </c>
      <c r="F5" s="115" t="s">
        <v>296</v>
      </c>
      <c r="G5" s="115">
        <v>3500</v>
      </c>
      <c r="H5" s="200">
        <v>43301</v>
      </c>
    </row>
    <row r="6" spans="1:27">
      <c r="A6" s="96"/>
      <c r="B6" s="100" t="s">
        <v>297</v>
      </c>
      <c r="C6" s="201">
        <v>1389.37</v>
      </c>
      <c r="D6" s="202">
        <v>22</v>
      </c>
      <c r="E6" s="202">
        <v>125</v>
      </c>
      <c r="F6" s="203" t="s">
        <v>298</v>
      </c>
      <c r="G6" s="202">
        <v>11000</v>
      </c>
      <c r="H6" s="204">
        <v>43340</v>
      </c>
    </row>
    <row r="7" spans="1:27">
      <c r="A7" s="96"/>
      <c r="B7" s="100" t="s">
        <v>299</v>
      </c>
      <c r="C7" s="205">
        <v>2135.35</v>
      </c>
      <c r="D7" s="115">
        <v>22.49</v>
      </c>
      <c r="E7" s="115">
        <v>55</v>
      </c>
      <c r="F7" s="206" t="s">
        <v>127</v>
      </c>
      <c r="G7" s="115">
        <v>5000</v>
      </c>
      <c r="H7" s="200">
        <v>43350</v>
      </c>
    </row>
    <row r="8" spans="1:27">
      <c r="A8" s="96"/>
      <c r="B8" s="100" t="s">
        <v>300</v>
      </c>
      <c r="C8" s="201">
        <v>1713.4</v>
      </c>
      <c r="D8" s="202">
        <v>20.8</v>
      </c>
      <c r="E8" s="202">
        <v>35</v>
      </c>
      <c r="F8" s="202" t="s">
        <v>112</v>
      </c>
      <c r="G8" s="202">
        <v>1750</v>
      </c>
      <c r="H8" s="204">
        <v>43350</v>
      </c>
    </row>
    <row r="9" spans="1:27">
      <c r="A9" s="96"/>
      <c r="B9" s="100" t="s">
        <v>301</v>
      </c>
      <c r="C9" s="202">
        <v>861.14</v>
      </c>
      <c r="D9" s="202">
        <v>0</v>
      </c>
      <c r="E9" s="202">
        <v>71</v>
      </c>
      <c r="F9" s="202" t="s">
        <v>302</v>
      </c>
      <c r="G9" s="202">
        <v>4500</v>
      </c>
      <c r="H9" s="204">
        <v>43353</v>
      </c>
    </row>
    <row r="10" spans="1:27">
      <c r="A10" s="96"/>
      <c r="B10" s="100" t="s">
        <v>303</v>
      </c>
      <c r="C10" s="201">
        <v>1833.24</v>
      </c>
      <c r="D10" s="202">
        <v>11.95</v>
      </c>
      <c r="E10" s="202">
        <v>37</v>
      </c>
      <c r="F10" s="202" t="s">
        <v>304</v>
      </c>
      <c r="G10" s="202">
        <v>2000</v>
      </c>
      <c r="H10" s="204">
        <v>43356</v>
      </c>
    </row>
    <row r="11" spans="1:27">
      <c r="A11" s="96"/>
      <c r="B11" s="100" t="s">
        <v>305</v>
      </c>
      <c r="C11" s="115">
        <v>2176.48</v>
      </c>
      <c r="D11" s="115">
        <v>21.49</v>
      </c>
      <c r="E11" s="115">
        <v>61</v>
      </c>
      <c r="F11" s="115" t="s">
        <v>296</v>
      </c>
      <c r="G11" s="115">
        <v>3000</v>
      </c>
      <c r="H11" s="200">
        <v>43364</v>
      </c>
    </row>
    <row r="12" spans="1:27">
      <c r="A12" s="96"/>
      <c r="B12" s="100" t="s">
        <v>306</v>
      </c>
      <c r="C12" s="201">
        <v>5937.78</v>
      </c>
      <c r="D12" s="202">
        <v>8</v>
      </c>
      <c r="E12" s="202">
        <v>200</v>
      </c>
      <c r="F12" s="202" t="s">
        <v>199</v>
      </c>
      <c r="G12" s="202">
        <v>7000</v>
      </c>
      <c r="H12" s="204">
        <v>43378</v>
      </c>
    </row>
    <row r="13" spans="1:27">
      <c r="A13" s="96"/>
      <c r="B13" s="100" t="s">
        <v>307</v>
      </c>
      <c r="C13" s="115">
        <v>7500</v>
      </c>
      <c r="D13" s="115">
        <v>0</v>
      </c>
      <c r="E13" s="115">
        <v>200</v>
      </c>
      <c r="F13" s="115" t="s">
        <v>308</v>
      </c>
      <c r="G13" s="115">
        <v>13000</v>
      </c>
      <c r="H13" s="200">
        <v>43395</v>
      </c>
    </row>
    <row r="14" spans="1:27">
      <c r="A14" s="96"/>
      <c r="B14" s="207" t="s">
        <v>309</v>
      </c>
      <c r="C14" s="115">
        <v>5000</v>
      </c>
      <c r="D14" s="115">
        <v>1.9</v>
      </c>
      <c r="E14" s="115">
        <v>160</v>
      </c>
      <c r="F14" s="115" t="s">
        <v>310</v>
      </c>
      <c r="G14" s="115">
        <v>5000</v>
      </c>
      <c r="H14" s="200">
        <v>43399</v>
      </c>
    </row>
    <row r="15" spans="1:27">
      <c r="A15" s="96"/>
      <c r="B15" s="208" t="s">
        <v>311</v>
      </c>
      <c r="C15" s="202">
        <v>1225</v>
      </c>
      <c r="D15" s="202">
        <v>0</v>
      </c>
      <c r="E15" s="202" t="s">
        <v>312</v>
      </c>
      <c r="F15" s="202" t="s">
        <v>312</v>
      </c>
      <c r="G15" s="202">
        <v>1225</v>
      </c>
      <c r="H15" s="204">
        <v>43406</v>
      </c>
    </row>
    <row r="16" spans="1:27">
      <c r="A16" s="96"/>
      <c r="B16" s="208" t="s">
        <v>313</v>
      </c>
      <c r="C16" s="115">
        <v>2000</v>
      </c>
      <c r="D16" s="115">
        <v>22</v>
      </c>
      <c r="E16" s="115" t="s">
        <v>312</v>
      </c>
      <c r="F16" s="115" t="s">
        <v>312</v>
      </c>
      <c r="G16" s="115">
        <v>3000</v>
      </c>
      <c r="H16" s="200">
        <v>43430</v>
      </c>
    </row>
    <row r="17" spans="1:8">
      <c r="A17" s="209"/>
      <c r="B17" s="210" t="s">
        <v>314</v>
      </c>
      <c r="C17" s="94"/>
      <c r="D17" s="86"/>
      <c r="E17" s="86"/>
      <c r="F17" s="94"/>
      <c r="G17" s="94"/>
      <c r="H17" s="211"/>
    </row>
    <row r="18" spans="1:8">
      <c r="A18" s="86"/>
      <c r="B18" s="102" t="s">
        <v>315</v>
      </c>
      <c r="C18" s="115">
        <v>59389.15</v>
      </c>
      <c r="D18" s="115" t="s">
        <v>316</v>
      </c>
      <c r="E18" s="115">
        <v>270</v>
      </c>
      <c r="F18" s="115" t="s">
        <v>317</v>
      </c>
      <c r="G18" s="212">
        <v>58962.27</v>
      </c>
      <c r="H18" s="213" t="s">
        <v>318</v>
      </c>
    </row>
    <row r="19" spans="1:8">
      <c r="G19" s="113"/>
    </row>
    <row r="20" spans="1:8">
      <c r="A20" s="113"/>
      <c r="B20" s="113"/>
      <c r="C20" s="119"/>
      <c r="D20" s="119"/>
      <c r="E20" s="119"/>
      <c r="F20" s="214"/>
      <c r="G20" s="113"/>
    </row>
    <row r="21" spans="1:8">
      <c r="A21" s="125"/>
      <c r="B21" s="155" t="s">
        <v>319</v>
      </c>
      <c r="C21" s="169"/>
      <c r="D21" s="169"/>
      <c r="E21" s="169"/>
      <c r="F21" s="170"/>
      <c r="G21" s="94"/>
    </row>
    <row r="22" spans="1:8">
      <c r="A22" s="174"/>
      <c r="B22" s="103" t="s">
        <v>220</v>
      </c>
      <c r="C22" s="114" t="s">
        <v>1</v>
      </c>
      <c r="D22" s="114" t="s">
        <v>320</v>
      </c>
      <c r="E22" s="114" t="s">
        <v>321</v>
      </c>
      <c r="F22" s="114" t="s">
        <v>232</v>
      </c>
    </row>
    <row r="23" spans="1:8">
      <c r="A23" s="109"/>
      <c r="B23" s="120">
        <v>43301</v>
      </c>
      <c r="C23" s="115">
        <v>749</v>
      </c>
      <c r="D23" s="115" t="s">
        <v>295</v>
      </c>
      <c r="E23" s="115">
        <v>0</v>
      </c>
      <c r="F23" s="185" t="s">
        <v>264</v>
      </c>
    </row>
    <row r="24" spans="1:8">
      <c r="A24" s="109"/>
      <c r="B24" s="120">
        <v>43301</v>
      </c>
      <c r="C24" s="115">
        <v>1000</v>
      </c>
      <c r="D24" s="115" t="s">
        <v>322</v>
      </c>
      <c r="E24" s="115">
        <v>1135.3499999999999</v>
      </c>
      <c r="F24" s="185" t="s">
        <v>264</v>
      </c>
    </row>
    <row r="25" spans="1:8">
      <c r="A25" s="109"/>
      <c r="B25" s="120">
        <v>43317</v>
      </c>
      <c r="C25" s="115">
        <v>500</v>
      </c>
      <c r="D25" s="115" t="s">
        <v>322</v>
      </c>
      <c r="E25" s="115">
        <v>635</v>
      </c>
      <c r="F25" s="185" t="s">
        <v>264</v>
      </c>
    </row>
    <row r="26" spans="1:8">
      <c r="A26" s="109"/>
      <c r="B26" s="120">
        <v>43327</v>
      </c>
      <c r="C26" s="115">
        <v>635</v>
      </c>
      <c r="D26" s="115" t="s">
        <v>322</v>
      </c>
      <c r="E26" s="115">
        <v>0</v>
      </c>
      <c r="F26" s="185" t="s">
        <v>264</v>
      </c>
    </row>
    <row r="27" spans="1:8">
      <c r="A27" s="109"/>
      <c r="B27" s="120">
        <v>43327</v>
      </c>
      <c r="C27" s="115">
        <v>1365</v>
      </c>
      <c r="D27" s="115" t="s">
        <v>323</v>
      </c>
      <c r="E27" s="115">
        <v>0</v>
      </c>
      <c r="F27" s="185" t="s">
        <v>264</v>
      </c>
    </row>
    <row r="28" spans="1:8">
      <c r="A28" s="109"/>
      <c r="B28" s="120">
        <v>43403</v>
      </c>
      <c r="C28" s="202">
        <v>1713</v>
      </c>
      <c r="D28" s="202" t="s">
        <v>300</v>
      </c>
      <c r="E28" s="202">
        <v>0</v>
      </c>
      <c r="F28" s="215" t="s">
        <v>264</v>
      </c>
    </row>
    <row r="29" spans="1:8">
      <c r="A29" s="109"/>
      <c r="B29" s="120">
        <v>43373</v>
      </c>
      <c r="C29" s="202">
        <v>711</v>
      </c>
      <c r="D29" s="202" t="s">
        <v>301</v>
      </c>
      <c r="E29" s="202">
        <v>0</v>
      </c>
      <c r="F29" s="185" t="s">
        <v>264</v>
      </c>
    </row>
    <row r="30" spans="1:8">
      <c r="A30" s="109"/>
      <c r="B30" s="120">
        <v>43358</v>
      </c>
      <c r="C30" s="115">
        <v>1800</v>
      </c>
      <c r="D30" s="115" t="s">
        <v>324</v>
      </c>
      <c r="E30" s="115">
        <v>0</v>
      </c>
      <c r="F30" s="185" t="s">
        <v>264</v>
      </c>
    </row>
    <row r="31" spans="1:8">
      <c r="A31" s="109"/>
      <c r="B31" s="120">
        <v>43367</v>
      </c>
      <c r="C31" s="115">
        <v>2000</v>
      </c>
      <c r="D31" s="115" t="s">
        <v>325</v>
      </c>
      <c r="E31" s="115">
        <v>0</v>
      </c>
      <c r="F31" s="185" t="s">
        <v>264</v>
      </c>
    </row>
    <row r="32" spans="1:8">
      <c r="A32" s="109"/>
      <c r="B32" s="120">
        <v>43373</v>
      </c>
      <c r="C32" s="115">
        <v>2500</v>
      </c>
      <c r="D32" s="115" t="s">
        <v>306</v>
      </c>
      <c r="E32" s="115">
        <v>2500</v>
      </c>
      <c r="F32" s="185" t="s">
        <v>264</v>
      </c>
    </row>
    <row r="33" spans="1:10">
      <c r="A33" s="109"/>
      <c r="B33" s="120">
        <v>43381</v>
      </c>
      <c r="C33" s="115">
        <v>2500</v>
      </c>
      <c r="D33" s="115" t="s">
        <v>306</v>
      </c>
      <c r="E33" s="115">
        <v>0</v>
      </c>
      <c r="F33" s="185" t="s">
        <v>264</v>
      </c>
    </row>
    <row r="34" spans="1:10">
      <c r="A34" s="109"/>
      <c r="B34" s="120">
        <v>43388</v>
      </c>
      <c r="C34" s="115">
        <v>1500</v>
      </c>
      <c r="D34" s="115" t="s">
        <v>326</v>
      </c>
      <c r="E34" s="115">
        <v>3000</v>
      </c>
      <c r="F34" s="185" t="s">
        <v>264</v>
      </c>
    </row>
    <row r="35" spans="1:10">
      <c r="A35" s="109"/>
      <c r="B35" s="120">
        <v>43395</v>
      </c>
      <c r="C35" s="115">
        <v>6799</v>
      </c>
      <c r="D35" s="115" t="s">
        <v>327</v>
      </c>
      <c r="E35" s="115">
        <v>0</v>
      </c>
      <c r="F35" s="185" t="s">
        <v>264</v>
      </c>
    </row>
    <row r="36" spans="1:10">
      <c r="A36" s="109"/>
      <c r="B36" s="120">
        <v>43399</v>
      </c>
      <c r="C36" s="115">
        <v>2900</v>
      </c>
      <c r="D36" s="115" t="s">
        <v>326</v>
      </c>
      <c r="E36" s="115">
        <v>0</v>
      </c>
      <c r="F36" s="185" t="s">
        <v>264</v>
      </c>
    </row>
    <row r="37" spans="1:10">
      <c r="A37" s="109"/>
      <c r="B37" s="120">
        <v>43406</v>
      </c>
      <c r="C37" s="115">
        <v>1225</v>
      </c>
      <c r="D37" s="202" t="s">
        <v>328</v>
      </c>
      <c r="E37" s="115">
        <v>0</v>
      </c>
      <c r="F37" s="185" t="s">
        <v>264</v>
      </c>
      <c r="G37" s="119"/>
    </row>
    <row r="38" spans="1:10">
      <c r="A38" s="126"/>
      <c r="B38" s="156" t="s">
        <v>329</v>
      </c>
      <c r="C38" s="140"/>
      <c r="D38" s="140"/>
      <c r="E38" s="140"/>
      <c r="F38" s="140"/>
      <c r="G38" s="119"/>
    </row>
    <row r="39" spans="1:10">
      <c r="A39" s="109"/>
      <c r="B39" s="120">
        <v>43406</v>
      </c>
      <c r="C39" s="115">
        <v>1300</v>
      </c>
      <c r="D39" s="115" t="s">
        <v>330</v>
      </c>
      <c r="E39" s="115">
        <v>1300</v>
      </c>
      <c r="F39" s="185" t="s">
        <v>264</v>
      </c>
      <c r="G39" s="119"/>
    </row>
    <row r="40" spans="1:10">
      <c r="A40" s="109"/>
      <c r="B40" s="120">
        <v>43416</v>
      </c>
      <c r="C40" s="115">
        <v>2000</v>
      </c>
      <c r="D40" s="115" t="s">
        <v>330</v>
      </c>
      <c r="E40" s="115">
        <v>3300</v>
      </c>
      <c r="F40" s="185" t="s">
        <v>264</v>
      </c>
      <c r="G40" s="119"/>
    </row>
    <row r="41" spans="1:10">
      <c r="A41" s="109"/>
      <c r="B41" s="120">
        <v>43420</v>
      </c>
      <c r="C41" s="115">
        <v>2000</v>
      </c>
      <c r="D41" s="115" t="s">
        <v>330</v>
      </c>
      <c r="E41" s="115">
        <v>5300</v>
      </c>
      <c r="F41" s="185" t="s">
        <v>264</v>
      </c>
      <c r="G41" s="119"/>
    </row>
    <row r="42" spans="1:10">
      <c r="A42" s="109"/>
      <c r="B42" s="120">
        <v>43430</v>
      </c>
      <c r="C42" s="115">
        <v>2000</v>
      </c>
      <c r="D42" s="115" t="s">
        <v>331</v>
      </c>
      <c r="E42" s="115" t="s">
        <v>312</v>
      </c>
      <c r="F42" s="185" t="s">
        <v>264</v>
      </c>
      <c r="G42" s="119"/>
    </row>
    <row r="43" spans="1:10">
      <c r="A43" s="109"/>
      <c r="B43" s="120">
        <v>43434</v>
      </c>
      <c r="C43" s="115">
        <v>700</v>
      </c>
      <c r="D43" s="115" t="s">
        <v>332</v>
      </c>
      <c r="E43" s="127">
        <v>700</v>
      </c>
      <c r="F43" s="185" t="s">
        <v>264</v>
      </c>
      <c r="G43" s="119"/>
    </row>
    <row r="44" spans="1:10">
      <c r="A44" s="181"/>
      <c r="B44" s="176">
        <v>43439</v>
      </c>
      <c r="C44" s="115">
        <v>350</v>
      </c>
      <c r="D44" s="115" t="s">
        <v>333</v>
      </c>
      <c r="E44" s="127">
        <v>250</v>
      </c>
      <c r="F44" s="185" t="s">
        <v>264</v>
      </c>
    </row>
    <row r="45" spans="1:10">
      <c r="A45" s="181"/>
      <c r="B45" s="176">
        <v>43446</v>
      </c>
      <c r="C45" s="115">
        <v>600</v>
      </c>
      <c r="D45" s="115" t="s">
        <v>334</v>
      </c>
      <c r="E45" s="127" t="s">
        <v>312</v>
      </c>
      <c r="F45" s="185" t="s">
        <v>264</v>
      </c>
      <c r="I45" s="119"/>
      <c r="J45" s="113"/>
    </row>
    <row r="46" spans="1:10">
      <c r="A46" s="181"/>
      <c r="B46" s="176">
        <v>43446</v>
      </c>
      <c r="C46" s="115">
        <v>1500</v>
      </c>
      <c r="D46" s="127" t="s">
        <v>335</v>
      </c>
      <c r="E46" s="127">
        <v>0</v>
      </c>
      <c r="F46" s="185" t="s">
        <v>264</v>
      </c>
      <c r="I46" s="119"/>
      <c r="J46" s="113"/>
    </row>
    <row r="47" spans="1:10">
      <c r="A47" s="181"/>
      <c r="B47" s="176">
        <v>43464</v>
      </c>
      <c r="C47" s="115">
        <v>3000</v>
      </c>
      <c r="D47" s="127" t="s">
        <v>106</v>
      </c>
      <c r="E47" s="127" t="s">
        <v>312</v>
      </c>
      <c r="F47" s="185" t="s">
        <v>264</v>
      </c>
      <c r="H47" s="147" t="s">
        <v>336</v>
      </c>
      <c r="I47" s="169"/>
      <c r="J47" s="170"/>
    </row>
    <row r="48" spans="1:10">
      <c r="H48" s="172" t="s">
        <v>220</v>
      </c>
      <c r="I48" s="173" t="s">
        <v>1</v>
      </c>
      <c r="J48" s="114" t="s">
        <v>232</v>
      </c>
    </row>
    <row r="49" spans="1:10">
      <c r="H49" s="120">
        <v>43420</v>
      </c>
      <c r="I49" s="216">
        <v>1500</v>
      </c>
      <c r="J49" s="185" t="s">
        <v>337</v>
      </c>
    </row>
    <row r="50" spans="1:10">
      <c r="A50" s="128"/>
      <c r="B50" s="129" t="s">
        <v>338</v>
      </c>
      <c r="C50" s="114">
        <v>4800</v>
      </c>
      <c r="D50" s="129" t="s">
        <v>339</v>
      </c>
      <c r="E50" s="114">
        <v>3200</v>
      </c>
      <c r="H50" s="120">
        <v>43434</v>
      </c>
      <c r="I50" s="216">
        <v>1500</v>
      </c>
      <c r="J50" s="185" t="s">
        <v>337</v>
      </c>
    </row>
    <row r="51" spans="1:10">
      <c r="A51" s="96"/>
      <c r="B51" s="100" t="s">
        <v>340</v>
      </c>
      <c r="C51" s="115">
        <v>480</v>
      </c>
      <c r="D51" s="100" t="s">
        <v>340</v>
      </c>
      <c r="E51" s="115">
        <v>320</v>
      </c>
      <c r="H51" s="120">
        <v>43446</v>
      </c>
      <c r="I51" s="216">
        <v>1000</v>
      </c>
      <c r="J51" s="185" t="s">
        <v>337</v>
      </c>
    </row>
    <row r="52" spans="1:10">
      <c r="A52" s="96"/>
      <c r="B52" s="100" t="s">
        <v>341</v>
      </c>
      <c r="C52" s="115">
        <v>1100</v>
      </c>
      <c r="D52" s="100" t="s">
        <v>342</v>
      </c>
      <c r="E52" s="115">
        <v>2500</v>
      </c>
      <c r="H52" s="120">
        <v>43448</v>
      </c>
      <c r="I52" s="216">
        <v>3000</v>
      </c>
      <c r="J52" s="185" t="s">
        <v>337</v>
      </c>
    </row>
    <row r="53" spans="1:10">
      <c r="A53" s="96"/>
      <c r="B53" s="100" t="s">
        <v>343</v>
      </c>
      <c r="C53" s="115">
        <v>100</v>
      </c>
      <c r="D53" s="100" t="s">
        <v>344</v>
      </c>
      <c r="E53" s="115">
        <v>180</v>
      </c>
      <c r="H53" s="120">
        <v>43462</v>
      </c>
      <c r="I53" s="216">
        <v>7666.95</v>
      </c>
      <c r="J53" s="185" t="s">
        <v>337</v>
      </c>
    </row>
    <row r="54" spans="1:10">
      <c r="A54" s="96"/>
      <c r="B54" s="100" t="s">
        <v>345</v>
      </c>
      <c r="C54" s="115">
        <v>3000</v>
      </c>
      <c r="D54" s="100" t="s">
        <v>346</v>
      </c>
      <c r="E54" s="115">
        <v>100</v>
      </c>
      <c r="H54" s="120">
        <v>43462</v>
      </c>
      <c r="I54" s="216">
        <v>500</v>
      </c>
      <c r="J54" s="185" t="s">
        <v>337</v>
      </c>
    </row>
    <row r="58" spans="1:10">
      <c r="G58" s="89"/>
    </row>
    <row r="59" spans="1:10">
      <c r="J59" s="113"/>
    </row>
    <row r="60" spans="1:10">
      <c r="J60" s="113"/>
    </row>
    <row r="61" spans="1:10">
      <c r="J61" s="113"/>
    </row>
    <row r="62" spans="1:10">
      <c r="J62" s="113"/>
    </row>
    <row r="63" spans="1:10">
      <c r="A63" s="209"/>
      <c r="B63" s="217" t="s">
        <v>347</v>
      </c>
      <c r="C63" s="119"/>
      <c r="D63" s="113"/>
      <c r="E63" s="113"/>
      <c r="J63" s="113"/>
    </row>
    <row r="64" spans="1:10">
      <c r="A64" s="198"/>
      <c r="B64" s="199" t="s">
        <v>348</v>
      </c>
      <c r="C64" s="114" t="s">
        <v>1</v>
      </c>
      <c r="D64" s="218" t="s">
        <v>349</v>
      </c>
      <c r="E64" s="114" t="s">
        <v>292</v>
      </c>
      <c r="J64" s="113"/>
    </row>
    <row r="65" spans="1:10">
      <c r="A65" s="86"/>
      <c r="B65" s="102" t="s">
        <v>204</v>
      </c>
      <c r="C65" s="94">
        <v>150</v>
      </c>
      <c r="D65" s="219" t="s">
        <v>350</v>
      </c>
      <c r="E65" s="115" t="s">
        <v>205</v>
      </c>
      <c r="J65" s="113"/>
    </row>
    <row r="66" spans="1:10">
      <c r="A66" s="96"/>
      <c r="B66" s="100"/>
      <c r="C66" s="94"/>
      <c r="D66" s="219"/>
      <c r="E66" s="115"/>
      <c r="J66" s="113"/>
    </row>
    <row r="67" spans="1:10">
      <c r="A67" s="96"/>
      <c r="B67" s="100" t="s">
        <v>351</v>
      </c>
      <c r="C67" s="115">
        <v>300</v>
      </c>
      <c r="D67" s="219" t="s">
        <v>350</v>
      </c>
      <c r="E67" s="115" t="s">
        <v>308</v>
      </c>
      <c r="J67" s="113"/>
    </row>
    <row r="68" spans="1:10">
      <c r="A68" s="119"/>
      <c r="B68" s="119"/>
      <c r="C68" s="113"/>
      <c r="D68" s="119"/>
      <c r="E68" s="113"/>
      <c r="H68" s="113"/>
      <c r="I68" s="119"/>
      <c r="J68" s="113"/>
    </row>
    <row r="69" spans="1:10">
      <c r="A69" s="209"/>
      <c r="B69" s="217" t="s">
        <v>352</v>
      </c>
      <c r="C69" s="119"/>
      <c r="D69" s="113"/>
      <c r="E69" s="119"/>
      <c r="H69" s="113"/>
      <c r="I69" s="119"/>
      <c r="J69" s="113"/>
    </row>
    <row r="70" spans="1:10">
      <c r="A70" s="198"/>
      <c r="B70" s="199" t="s">
        <v>348</v>
      </c>
      <c r="C70" s="114" t="s">
        <v>1</v>
      </c>
      <c r="D70" s="218" t="s">
        <v>349</v>
      </c>
      <c r="E70" s="220" t="s">
        <v>292</v>
      </c>
      <c r="H70" s="113"/>
      <c r="I70" s="119"/>
      <c r="J70" s="113"/>
    </row>
    <row r="71" spans="1:10">
      <c r="A71" s="86"/>
      <c r="B71" s="102" t="s">
        <v>111</v>
      </c>
      <c r="C71" s="115">
        <v>1700</v>
      </c>
      <c r="D71" s="219" t="s">
        <v>350</v>
      </c>
      <c r="E71" s="115" t="s">
        <v>115</v>
      </c>
      <c r="H71" s="113"/>
      <c r="I71" s="119"/>
      <c r="J71" s="113"/>
    </row>
    <row r="72" spans="1:10">
      <c r="A72" s="86"/>
      <c r="B72" s="102" t="s">
        <v>353</v>
      </c>
      <c r="C72" s="115">
        <v>200</v>
      </c>
      <c r="D72" s="219" t="s">
        <v>350</v>
      </c>
      <c r="E72" s="115" t="s">
        <v>138</v>
      </c>
      <c r="H72" s="113"/>
      <c r="I72" s="119"/>
      <c r="J72" s="113"/>
    </row>
    <row r="73" spans="1:10">
      <c r="A73" s="86"/>
      <c r="B73" s="102" t="s">
        <v>354</v>
      </c>
      <c r="C73" s="115">
        <v>70</v>
      </c>
      <c r="D73" s="219" t="s">
        <v>350</v>
      </c>
      <c r="E73" s="115" t="s">
        <v>196</v>
      </c>
      <c r="F73" s="113"/>
      <c r="H73" s="113"/>
      <c r="I73" s="119"/>
      <c r="J73" s="113"/>
    </row>
    <row r="74" spans="1:10">
      <c r="A74" s="86"/>
      <c r="B74" s="102" t="s">
        <v>200</v>
      </c>
      <c r="C74" s="115">
        <v>75</v>
      </c>
      <c r="D74" s="219" t="s">
        <v>350</v>
      </c>
      <c r="E74" s="115" t="s">
        <v>308</v>
      </c>
      <c r="F74" s="113"/>
      <c r="G74" s="119"/>
      <c r="H74" s="113"/>
      <c r="I74" s="119"/>
      <c r="J74" s="113"/>
    </row>
    <row r="75" spans="1:10">
      <c r="A75" s="86"/>
      <c r="B75" s="102" t="s">
        <v>355</v>
      </c>
      <c r="C75" s="115">
        <v>200</v>
      </c>
      <c r="D75" s="219" t="s">
        <v>350</v>
      </c>
      <c r="E75" s="115" t="s">
        <v>122</v>
      </c>
      <c r="F75" s="113"/>
      <c r="G75" s="119"/>
      <c r="H75" s="113"/>
      <c r="I75" s="119"/>
      <c r="J75" s="113"/>
    </row>
    <row r="76" spans="1:10">
      <c r="E76" s="113"/>
      <c r="F76" s="113"/>
      <c r="G76" s="119"/>
      <c r="H76" s="113"/>
      <c r="I76" s="119"/>
      <c r="J76" s="113"/>
    </row>
    <row r="77" spans="1:10">
      <c r="D77" s="119"/>
      <c r="E77" s="113"/>
      <c r="F77" s="113"/>
      <c r="G77" s="119"/>
      <c r="H77" s="113"/>
      <c r="I77" s="119"/>
      <c r="J77" s="113"/>
    </row>
    <row r="78" spans="1:10">
      <c r="A78" s="85"/>
      <c r="B78" s="145" t="s">
        <v>356</v>
      </c>
      <c r="C78" s="169"/>
      <c r="D78" s="170"/>
      <c r="F78" s="113"/>
      <c r="G78" s="119"/>
      <c r="H78" s="113"/>
      <c r="I78" s="119"/>
      <c r="J78" s="113"/>
    </row>
    <row r="79" spans="1:10">
      <c r="A79" s="174"/>
      <c r="B79" s="172" t="s">
        <v>188</v>
      </c>
      <c r="C79" s="173" t="s">
        <v>1</v>
      </c>
      <c r="D79" s="114" t="s">
        <v>232</v>
      </c>
      <c r="G79" s="119"/>
      <c r="H79" s="113"/>
      <c r="I79" s="119"/>
      <c r="J79" s="113"/>
    </row>
    <row r="80" spans="1:10">
      <c r="A80" s="109"/>
      <c r="B80" s="120">
        <v>43532</v>
      </c>
      <c r="C80" s="216">
        <v>15510</v>
      </c>
      <c r="D80" s="221" t="s">
        <v>330</v>
      </c>
      <c r="H80" s="113"/>
      <c r="I80" s="119"/>
      <c r="J80" s="113"/>
    </row>
    <row r="81" spans="1:10">
      <c r="A81" s="109"/>
      <c r="B81" s="120">
        <v>43563</v>
      </c>
      <c r="C81" s="216">
        <v>3500</v>
      </c>
      <c r="D81" s="221" t="s">
        <v>357</v>
      </c>
      <c r="I81" s="119"/>
      <c r="J81" s="113"/>
    </row>
    <row r="82" spans="1:10">
      <c r="A82" s="109"/>
      <c r="B82" s="120">
        <v>43586</v>
      </c>
      <c r="C82" s="216">
        <v>1400</v>
      </c>
      <c r="D82" s="221" t="s">
        <v>332</v>
      </c>
      <c r="E82" s="124"/>
      <c r="H82" s="113"/>
      <c r="I82" s="119"/>
      <c r="J82" s="113"/>
    </row>
    <row r="83" spans="1:10">
      <c r="A83" s="109"/>
      <c r="B83" s="120">
        <v>43593</v>
      </c>
      <c r="C83" s="216">
        <v>1400</v>
      </c>
      <c r="D83" s="221" t="s">
        <v>358</v>
      </c>
      <c r="E83" s="124"/>
      <c r="H83" s="113"/>
      <c r="I83" s="119"/>
      <c r="J83" s="113"/>
    </row>
    <row r="84" spans="1:10">
      <c r="A84" s="109"/>
      <c r="B84" s="120">
        <v>43593</v>
      </c>
      <c r="C84" s="216">
        <v>3000</v>
      </c>
      <c r="D84" s="115" t="s">
        <v>359</v>
      </c>
      <c r="E84" s="124"/>
      <c r="H84" s="113"/>
      <c r="I84" s="119"/>
      <c r="J84" s="113"/>
    </row>
    <row r="85" spans="1:10">
      <c r="A85" s="109"/>
      <c r="B85" s="120">
        <v>43593</v>
      </c>
      <c r="C85" s="216">
        <v>616.30999999999995</v>
      </c>
      <c r="D85" s="115" t="s">
        <v>360</v>
      </c>
      <c r="E85" s="124"/>
      <c r="H85" s="113"/>
      <c r="I85" s="119"/>
      <c r="J85" s="113"/>
    </row>
    <row r="86" spans="1:10">
      <c r="A86" s="109"/>
      <c r="B86" s="120">
        <v>43593</v>
      </c>
      <c r="C86" s="216">
        <v>1500</v>
      </c>
      <c r="D86" s="221" t="s">
        <v>361</v>
      </c>
      <c r="E86" s="124"/>
      <c r="H86" s="113"/>
      <c r="I86" s="119"/>
      <c r="J86" s="113"/>
    </row>
    <row r="87" spans="1:10">
      <c r="A87" s="109"/>
      <c r="B87" s="120">
        <v>43593</v>
      </c>
      <c r="C87" s="216">
        <v>1000</v>
      </c>
      <c r="D87" s="115" t="s">
        <v>362</v>
      </c>
      <c r="E87" s="124"/>
      <c r="H87" s="113"/>
      <c r="I87" s="119"/>
      <c r="J87" s="113"/>
    </row>
    <row r="88" spans="1:10">
      <c r="A88" s="109"/>
      <c r="B88" s="120">
        <v>43593</v>
      </c>
      <c r="C88" s="216">
        <v>280</v>
      </c>
      <c r="D88" s="115" t="s">
        <v>363</v>
      </c>
      <c r="E88" s="124"/>
      <c r="H88" s="113"/>
      <c r="I88" s="119"/>
      <c r="J88" s="113"/>
    </row>
    <row r="89" spans="1:10">
      <c r="A89" s="109"/>
      <c r="B89" s="120">
        <v>43603</v>
      </c>
      <c r="C89" s="216">
        <v>3100</v>
      </c>
      <c r="D89" s="221" t="s">
        <v>364</v>
      </c>
      <c r="E89" s="124"/>
      <c r="H89" s="113"/>
      <c r="I89" s="119"/>
      <c r="J89" s="113"/>
    </row>
    <row r="90" spans="1:10">
      <c r="A90" s="109"/>
      <c r="B90" s="120">
        <v>43605</v>
      </c>
      <c r="C90" s="216">
        <v>8000</v>
      </c>
      <c r="D90" s="130" t="s">
        <v>365</v>
      </c>
      <c r="E90" s="124"/>
      <c r="H90" s="113"/>
      <c r="I90" s="119"/>
      <c r="J90" s="113"/>
    </row>
    <row r="91" spans="1:10">
      <c r="A91" s="109"/>
      <c r="B91" s="120">
        <v>43624</v>
      </c>
      <c r="C91" s="216">
        <v>1600</v>
      </c>
      <c r="D91" s="115" t="s">
        <v>366</v>
      </c>
      <c r="E91" s="124"/>
      <c r="H91" s="113"/>
      <c r="I91" s="119"/>
      <c r="J91" s="113"/>
    </row>
    <row r="92" spans="1:10">
      <c r="B92" s="131"/>
      <c r="C92" s="131"/>
      <c r="D92" s="131"/>
      <c r="E92" s="124"/>
      <c r="H92" s="113"/>
      <c r="I92" s="119"/>
      <c r="J92" s="113"/>
    </row>
    <row r="93" spans="1:10">
      <c r="A93" s="109"/>
      <c r="B93" s="120"/>
      <c r="C93" s="115"/>
      <c r="D93" s="115"/>
      <c r="E93" s="124"/>
      <c r="H93" s="113"/>
      <c r="I93" s="119"/>
      <c r="J93" s="113"/>
    </row>
    <row r="94" spans="1:10">
      <c r="A94" s="124"/>
      <c r="B94" s="124"/>
      <c r="C94" s="124"/>
      <c r="D94" s="124"/>
      <c r="E94" s="124"/>
      <c r="H94" s="113"/>
      <c r="I94" s="119"/>
      <c r="J94" s="113"/>
    </row>
  </sheetData>
  <mergeCells count="6">
    <mergeCell ref="B78:D78"/>
    <mergeCell ref="A1:AA1"/>
    <mergeCell ref="B2:AA2"/>
    <mergeCell ref="B21:F21"/>
    <mergeCell ref="B38:F38"/>
    <mergeCell ref="H47:J47"/>
  </mergeCell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9"/>
  <sheetViews>
    <sheetView workbookViewId="0"/>
  </sheetViews>
  <sheetFormatPr defaultColWidth="12.625" defaultRowHeight="15" customHeight="1"/>
  <cols>
    <col min="1" max="1" width="30" customWidth="1"/>
    <col min="2" max="2" width="9.5" customWidth="1"/>
    <col min="3" max="3" width="14" customWidth="1"/>
    <col min="4" max="4" width="8.625" customWidth="1"/>
    <col min="5" max="5" width="10" customWidth="1"/>
    <col min="6" max="6" width="35.375" customWidth="1"/>
    <col min="7" max="9" width="8.625" customWidth="1"/>
    <col min="10" max="10" width="9.5" customWidth="1"/>
    <col min="11" max="11" width="13" customWidth="1"/>
    <col min="12" max="12" width="9.125" customWidth="1"/>
    <col min="13" max="13" width="12.125" customWidth="1"/>
    <col min="14" max="26" width="8.625" customWidth="1"/>
  </cols>
  <sheetData>
    <row r="1" spans="1:26" ht="26.25" customHeight="1">
      <c r="A1" s="157" t="s">
        <v>367</v>
      </c>
      <c r="B1" s="169"/>
      <c r="C1" s="170"/>
      <c r="D1" s="132"/>
      <c r="F1" s="157" t="s">
        <v>368</v>
      </c>
      <c r="G1" s="169"/>
      <c r="H1" s="170"/>
      <c r="I1" s="113"/>
      <c r="J1" s="157" t="s">
        <v>369</v>
      </c>
      <c r="K1" s="169"/>
      <c r="L1" s="170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 spans="1:26" ht="20.25" customHeight="1">
      <c r="A2" s="103" t="s">
        <v>370</v>
      </c>
      <c r="B2" s="114" t="s">
        <v>154</v>
      </c>
      <c r="C2" s="114" t="s">
        <v>232</v>
      </c>
      <c r="D2" s="133"/>
      <c r="F2" s="97" t="s">
        <v>370</v>
      </c>
      <c r="G2" s="114" t="s">
        <v>154</v>
      </c>
      <c r="H2" s="114" t="s">
        <v>232</v>
      </c>
      <c r="I2" s="133"/>
      <c r="J2" s="133"/>
      <c r="K2" s="133"/>
    </row>
    <row r="3" spans="1:26" ht="14.25" customHeight="1">
      <c r="A3" s="108" t="s">
        <v>371</v>
      </c>
      <c r="B3" s="115" t="s">
        <v>176</v>
      </c>
      <c r="C3" s="115" t="s">
        <v>372</v>
      </c>
      <c r="D3" s="119"/>
      <c r="F3" s="100" t="s">
        <v>373</v>
      </c>
      <c r="G3" s="115" t="s">
        <v>177</v>
      </c>
      <c r="H3" s="115"/>
      <c r="I3" s="119"/>
      <c r="J3" s="119"/>
      <c r="K3" s="134"/>
    </row>
    <row r="4" spans="1:26" ht="14.25" customHeight="1">
      <c r="A4" s="108" t="s">
        <v>374</v>
      </c>
      <c r="B4" s="115" t="s">
        <v>375</v>
      </c>
      <c r="C4" s="115"/>
      <c r="D4" s="119"/>
      <c r="F4" s="100" t="s">
        <v>376</v>
      </c>
      <c r="G4" s="115" t="s">
        <v>94</v>
      </c>
      <c r="H4" s="115"/>
    </row>
    <row r="5" spans="1:26" ht="14.25" customHeight="1">
      <c r="A5" s="108" t="s">
        <v>377</v>
      </c>
      <c r="B5" s="115" t="s">
        <v>89</v>
      </c>
      <c r="C5" s="115"/>
      <c r="D5" s="119"/>
      <c r="F5" s="100" t="s">
        <v>378</v>
      </c>
      <c r="G5" s="115" t="s">
        <v>52</v>
      </c>
      <c r="H5" s="115"/>
    </row>
    <row r="6" spans="1:26" ht="14.25" customHeight="1">
      <c r="A6" s="108" t="s">
        <v>379</v>
      </c>
      <c r="B6" s="115" t="s">
        <v>177</v>
      </c>
      <c r="C6" s="115" t="s">
        <v>380</v>
      </c>
      <c r="D6" s="119"/>
      <c r="F6" s="100" t="s">
        <v>381</v>
      </c>
      <c r="G6" s="115" t="s">
        <v>52</v>
      </c>
      <c r="H6" s="115"/>
    </row>
    <row r="7" spans="1:26" ht="14.25" customHeight="1">
      <c r="A7" s="108"/>
      <c r="B7" s="115" t="s">
        <v>94</v>
      </c>
      <c r="C7" s="115"/>
      <c r="D7" s="119"/>
      <c r="F7" s="100" t="s">
        <v>382</v>
      </c>
      <c r="G7" s="115" t="s">
        <v>383</v>
      </c>
      <c r="H7" s="115"/>
    </row>
    <row r="8" spans="1:26">
      <c r="A8" s="108" t="s">
        <v>384</v>
      </c>
      <c r="B8" s="115" t="s">
        <v>52</v>
      </c>
      <c r="C8" s="100" t="s">
        <v>385</v>
      </c>
      <c r="F8" s="100" t="s">
        <v>386</v>
      </c>
      <c r="G8" s="115" t="s">
        <v>383</v>
      </c>
      <c r="H8" s="102"/>
    </row>
    <row r="9" spans="1:26">
      <c r="A9" s="108"/>
      <c r="B9" s="115" t="s">
        <v>53</v>
      </c>
      <c r="C9" s="115"/>
      <c r="F9" s="100" t="s">
        <v>387</v>
      </c>
      <c r="G9" s="115" t="s">
        <v>388</v>
      </c>
      <c r="H9" s="102"/>
    </row>
    <row r="10" spans="1:26">
      <c r="A10" s="108" t="s">
        <v>389</v>
      </c>
      <c r="B10" s="115" t="s">
        <v>383</v>
      </c>
      <c r="C10" s="115"/>
      <c r="F10" s="100" t="s">
        <v>390</v>
      </c>
      <c r="G10" s="115" t="s">
        <v>66</v>
      </c>
      <c r="H10" s="102"/>
    </row>
    <row r="11" spans="1:26" ht="14.25" customHeight="1">
      <c r="A11" s="108"/>
      <c r="B11" s="115" t="s">
        <v>388</v>
      </c>
      <c r="C11" s="115"/>
      <c r="D11" s="119"/>
      <c r="F11" s="100" t="s">
        <v>391</v>
      </c>
      <c r="G11" s="115" t="s">
        <v>392</v>
      </c>
      <c r="H11" s="115"/>
    </row>
    <row r="12" spans="1:26" ht="14.25" customHeight="1">
      <c r="A12" s="108" t="s">
        <v>393</v>
      </c>
      <c r="B12" s="115" t="s">
        <v>66</v>
      </c>
      <c r="C12" s="115"/>
      <c r="D12" s="119"/>
      <c r="F12" s="100" t="s">
        <v>394</v>
      </c>
      <c r="G12" s="115" t="s">
        <v>395</v>
      </c>
      <c r="H12" s="115"/>
    </row>
    <row r="13" spans="1:26" ht="14.25" customHeight="1">
      <c r="A13" s="108"/>
      <c r="B13" s="115" t="s">
        <v>392</v>
      </c>
      <c r="C13" s="115"/>
      <c r="D13" s="119"/>
    </row>
    <row r="14" spans="1:26" ht="14.25" customHeight="1">
      <c r="A14" s="108" t="s">
        <v>396</v>
      </c>
      <c r="B14" s="115" t="s">
        <v>395</v>
      </c>
      <c r="C14" s="115"/>
      <c r="D14" s="119"/>
    </row>
    <row r="15" spans="1:26" ht="14.25" customHeight="1">
      <c r="A15" s="113"/>
      <c r="B15" s="119"/>
      <c r="C15" s="119"/>
      <c r="D15" s="119"/>
    </row>
    <row r="16" spans="1:26" ht="14.25" customHeight="1">
      <c r="A16" s="113"/>
      <c r="B16" s="119"/>
      <c r="C16" s="113"/>
      <c r="D16" s="119"/>
    </row>
    <row r="17" spans="1:4" ht="14.25" customHeight="1">
      <c r="D17" s="119"/>
    </row>
    <row r="18" spans="1:4" ht="14.25" customHeight="1">
      <c r="D18" s="119"/>
    </row>
    <row r="19" spans="1:4" ht="14.25" customHeight="1">
      <c r="D19" s="119"/>
    </row>
    <row r="20" spans="1:4" ht="14.25" customHeight="1">
      <c r="D20" s="119"/>
    </row>
    <row r="21" spans="1:4" ht="14.25" customHeight="1"/>
    <row r="22" spans="1:4" ht="14.25" customHeight="1"/>
    <row r="23" spans="1:4" ht="14.25" customHeight="1"/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>
      <c r="A31" s="110"/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C1"/>
    <mergeCell ref="F1:H1"/>
    <mergeCell ref="J1:L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966"/>
  <sheetViews>
    <sheetView workbookViewId="0"/>
  </sheetViews>
  <sheetFormatPr defaultColWidth="12.625" defaultRowHeight="15" customHeight="1"/>
  <cols>
    <col min="1" max="1" width="1.875" customWidth="1"/>
    <col min="2" max="2" width="50.125" customWidth="1"/>
    <col min="3" max="3" width="20.125" customWidth="1"/>
    <col min="5" max="5" width="11.75" customWidth="1"/>
    <col min="6" max="6" width="4.75" customWidth="1"/>
    <col min="7" max="7" width="18.5" customWidth="1"/>
    <col min="8" max="8" width="10.875" customWidth="1"/>
    <col min="9" max="9" width="25.5" customWidth="1"/>
    <col min="11" max="11" width="13.5" customWidth="1"/>
    <col min="12" max="12" width="8.625" customWidth="1"/>
  </cols>
  <sheetData>
    <row r="1" spans="1:13">
      <c r="A1" s="158" t="s">
        <v>397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1"/>
    </row>
    <row r="2" spans="1:13">
      <c r="A2" s="162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63"/>
    </row>
    <row r="3" spans="1:13">
      <c r="A3" s="162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63"/>
    </row>
    <row r="4" spans="1:13" ht="9" customHeight="1">
      <c r="A4" s="164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6"/>
    </row>
    <row r="5" spans="1:13">
      <c r="A5" s="84"/>
      <c r="B5" s="84"/>
      <c r="C5" s="84"/>
      <c r="D5" s="84"/>
      <c r="G5" s="84"/>
      <c r="H5" s="84"/>
      <c r="I5" s="84"/>
    </row>
    <row r="6" spans="1:13">
      <c r="A6" s="91"/>
      <c r="B6" s="146" t="s">
        <v>398</v>
      </c>
      <c r="C6" s="140"/>
      <c r="D6" s="88"/>
      <c r="E6" s="88"/>
      <c r="F6" s="94"/>
      <c r="G6" s="92"/>
      <c r="H6" s="92"/>
      <c r="J6" s="86"/>
      <c r="K6" s="86"/>
    </row>
    <row r="7" spans="1:13">
      <c r="A7" s="91"/>
      <c r="B7" s="171"/>
      <c r="C7" s="140"/>
      <c r="D7" s="140"/>
      <c r="E7" s="140"/>
      <c r="F7" s="86"/>
      <c r="G7" s="145" t="s">
        <v>217</v>
      </c>
      <c r="H7" s="169"/>
      <c r="I7" s="170"/>
      <c r="J7" s="86"/>
      <c r="K7" s="86"/>
    </row>
    <row r="8" spans="1:13">
      <c r="A8" s="91"/>
      <c r="B8" s="108" t="s">
        <v>399</v>
      </c>
      <c r="C8" s="114"/>
      <c r="D8" s="123"/>
      <c r="E8" s="123"/>
      <c r="F8" s="86"/>
      <c r="G8" s="147" t="s">
        <v>400</v>
      </c>
      <c r="H8" s="169"/>
      <c r="I8" s="170"/>
      <c r="J8" s="86"/>
      <c r="K8" s="86"/>
    </row>
    <row r="9" spans="1:13">
      <c r="A9" s="91"/>
      <c r="B9" s="108" t="s">
        <v>401</v>
      </c>
      <c r="C9" s="135"/>
      <c r="D9" s="93"/>
      <c r="F9" s="86"/>
      <c r="G9" s="172" t="s">
        <v>220</v>
      </c>
      <c r="H9" s="173" t="s">
        <v>1</v>
      </c>
      <c r="I9" s="173" t="s">
        <v>232</v>
      </c>
      <c r="J9" s="86"/>
      <c r="K9" s="86"/>
    </row>
    <row r="10" spans="1:13">
      <c r="A10" s="91"/>
      <c r="B10" s="108" t="s">
        <v>226</v>
      </c>
      <c r="C10" s="222" t="s">
        <v>402</v>
      </c>
      <c r="D10" s="118"/>
      <c r="E10" s="94"/>
      <c r="F10" s="86"/>
      <c r="G10" s="136" t="s">
        <v>403</v>
      </c>
      <c r="H10" s="223">
        <v>30000</v>
      </c>
      <c r="I10" s="224" t="s">
        <v>404</v>
      </c>
      <c r="J10" s="86"/>
      <c r="K10" s="86"/>
    </row>
    <row r="11" spans="1:13">
      <c r="A11" s="91"/>
      <c r="B11" s="225" t="s">
        <v>405</v>
      </c>
      <c r="C11" s="222" t="s">
        <v>406</v>
      </c>
      <c r="D11" s="118"/>
      <c r="E11" s="94"/>
      <c r="F11" s="86"/>
      <c r="G11" s="176">
        <v>44316</v>
      </c>
      <c r="H11" s="116">
        <v>3000</v>
      </c>
      <c r="I11" s="115" t="s">
        <v>407</v>
      </c>
      <c r="J11" s="86"/>
      <c r="K11" s="86"/>
    </row>
    <row r="12" spans="1:13">
      <c r="A12" s="91"/>
      <c r="B12" s="225" t="s">
        <v>408</v>
      </c>
      <c r="C12" s="99"/>
      <c r="D12" s="95"/>
      <c r="E12" s="96"/>
      <c r="F12" s="86"/>
      <c r="G12" s="176">
        <v>44331</v>
      </c>
      <c r="H12" s="116">
        <v>5000</v>
      </c>
      <c r="I12" s="115" t="s">
        <v>409</v>
      </c>
      <c r="J12" s="86"/>
      <c r="K12" s="86"/>
    </row>
    <row r="13" spans="1:13">
      <c r="A13" s="101"/>
      <c r="B13" s="225" t="s">
        <v>410</v>
      </c>
      <c r="C13" s="99"/>
      <c r="D13" s="95"/>
      <c r="E13" s="96"/>
      <c r="F13" s="86"/>
      <c r="G13" s="176">
        <v>44346</v>
      </c>
      <c r="H13" s="116">
        <v>3000</v>
      </c>
      <c r="I13" s="115" t="s">
        <v>411</v>
      </c>
      <c r="J13" s="86"/>
      <c r="K13" s="86"/>
    </row>
    <row r="14" spans="1:13">
      <c r="A14" s="101"/>
      <c r="B14" s="225" t="s">
        <v>412</v>
      </c>
      <c r="C14" s="99"/>
      <c r="D14" s="95"/>
      <c r="E14" s="96"/>
      <c r="F14" s="96"/>
      <c r="G14" s="176">
        <v>44361</v>
      </c>
      <c r="H14" s="116">
        <v>5000</v>
      </c>
      <c r="I14" s="115" t="s">
        <v>409</v>
      </c>
      <c r="J14" s="86"/>
      <c r="K14" s="86"/>
      <c r="L14" s="37"/>
    </row>
    <row r="15" spans="1:13">
      <c r="A15" s="101"/>
      <c r="B15" s="225" t="s">
        <v>413</v>
      </c>
      <c r="C15" s="222" t="s">
        <v>414</v>
      </c>
      <c r="D15" s="95"/>
      <c r="E15" s="96"/>
      <c r="F15" s="96"/>
      <c r="G15" s="176">
        <v>44376</v>
      </c>
      <c r="H15" s="116">
        <v>3000</v>
      </c>
      <c r="I15" s="115" t="s">
        <v>415</v>
      </c>
      <c r="J15" s="86"/>
      <c r="K15" s="86"/>
      <c r="L15" s="37"/>
    </row>
    <row r="16" spans="1:13">
      <c r="A16" s="101"/>
      <c r="B16" s="225" t="s">
        <v>416</v>
      </c>
      <c r="C16" s="99"/>
      <c r="D16" s="95"/>
      <c r="E16" s="96"/>
      <c r="F16" s="96"/>
      <c r="G16" s="176">
        <v>44391</v>
      </c>
      <c r="H16" s="116">
        <v>5000</v>
      </c>
      <c r="I16" s="115" t="s">
        <v>409</v>
      </c>
      <c r="J16" s="86"/>
      <c r="K16" s="86"/>
      <c r="L16" s="37"/>
    </row>
    <row r="17" spans="1:12">
      <c r="A17" s="91"/>
      <c r="B17" s="225" t="s">
        <v>417</v>
      </c>
      <c r="C17" s="99"/>
      <c r="D17" s="95"/>
      <c r="E17" s="96"/>
      <c r="F17" s="96"/>
      <c r="G17" s="176">
        <v>44406</v>
      </c>
      <c r="H17" s="116">
        <v>3000</v>
      </c>
      <c r="I17" s="115" t="s">
        <v>415</v>
      </c>
      <c r="J17" s="86"/>
      <c r="K17" s="86"/>
      <c r="L17" s="37"/>
    </row>
    <row r="18" spans="1:12">
      <c r="A18" s="91"/>
      <c r="B18" s="225" t="s">
        <v>418</v>
      </c>
      <c r="C18" s="99"/>
      <c r="D18" s="95"/>
      <c r="E18" s="96"/>
      <c r="F18" s="96"/>
      <c r="G18" s="176">
        <v>44421</v>
      </c>
      <c r="H18" s="116">
        <v>5000</v>
      </c>
      <c r="I18" s="115" t="s">
        <v>409</v>
      </c>
      <c r="J18" s="86"/>
      <c r="K18" s="86"/>
      <c r="L18" s="37"/>
    </row>
    <row r="19" spans="1:12">
      <c r="A19" s="91"/>
      <c r="B19" s="225" t="s">
        <v>419</v>
      </c>
      <c r="C19" s="99"/>
      <c r="D19" s="95"/>
      <c r="E19" s="96"/>
      <c r="F19" s="96"/>
      <c r="G19" s="176">
        <v>44436</v>
      </c>
      <c r="H19" s="116">
        <v>3000</v>
      </c>
      <c r="I19" s="115" t="s">
        <v>415</v>
      </c>
      <c r="J19" s="86"/>
      <c r="K19" s="86"/>
      <c r="L19" s="37"/>
    </row>
    <row r="20" spans="1:12">
      <c r="A20" s="86"/>
      <c r="B20" s="108" t="s">
        <v>420</v>
      </c>
      <c r="C20" s="99"/>
      <c r="D20" s="95"/>
      <c r="E20" s="96"/>
      <c r="F20" s="86"/>
      <c r="G20" s="176">
        <v>44451</v>
      </c>
      <c r="H20" s="116">
        <v>5000</v>
      </c>
      <c r="I20" s="115" t="s">
        <v>409</v>
      </c>
      <c r="J20" s="86"/>
      <c r="K20" s="86"/>
      <c r="L20" s="37"/>
    </row>
    <row r="21" spans="1:12">
      <c r="A21" s="86"/>
      <c r="B21" s="108" t="s">
        <v>421</v>
      </c>
      <c r="C21" s="99"/>
      <c r="D21" s="95"/>
      <c r="E21" s="96"/>
      <c r="F21" s="86"/>
      <c r="G21" s="176">
        <v>44466</v>
      </c>
      <c r="H21" s="116">
        <v>3000</v>
      </c>
      <c r="I21" s="115" t="s">
        <v>415</v>
      </c>
      <c r="J21" s="86"/>
      <c r="K21" s="86"/>
      <c r="L21" s="37"/>
    </row>
    <row r="22" spans="1:12">
      <c r="B22" s="100"/>
      <c r="C22" s="102"/>
      <c r="D22" s="86"/>
      <c r="E22" s="86"/>
      <c r="F22" s="86"/>
      <c r="G22" s="176">
        <v>44481</v>
      </c>
      <c r="H22" s="116">
        <v>5000</v>
      </c>
      <c r="I22" s="115" t="s">
        <v>409</v>
      </c>
      <c r="J22" s="86"/>
      <c r="K22" s="86"/>
      <c r="L22" s="92" t="s">
        <v>238</v>
      </c>
    </row>
    <row r="23" spans="1:12">
      <c r="F23" s="86"/>
      <c r="G23" s="176">
        <v>44496</v>
      </c>
      <c r="H23" s="116">
        <v>3000</v>
      </c>
      <c r="I23" s="115" t="s">
        <v>415</v>
      </c>
      <c r="J23" s="86"/>
      <c r="K23" s="86"/>
      <c r="L23" s="92"/>
    </row>
    <row r="24" spans="1:12">
      <c r="B24" s="90"/>
      <c r="F24" s="86"/>
      <c r="G24" s="176">
        <v>44511</v>
      </c>
      <c r="H24" s="116">
        <v>5000</v>
      </c>
      <c r="I24" s="115" t="s">
        <v>409</v>
      </c>
      <c r="J24" s="86"/>
      <c r="K24" s="86"/>
      <c r="L24" s="92"/>
    </row>
    <row r="25" spans="1:12">
      <c r="F25" s="86"/>
      <c r="G25" s="176">
        <v>44526</v>
      </c>
      <c r="H25" s="116">
        <v>3000</v>
      </c>
      <c r="I25" s="115" t="s">
        <v>415</v>
      </c>
      <c r="J25" s="86"/>
      <c r="K25" s="86"/>
      <c r="L25" s="37"/>
    </row>
    <row r="26" spans="1:12">
      <c r="F26" s="86"/>
      <c r="G26" s="176">
        <v>44541</v>
      </c>
      <c r="H26" s="116">
        <v>5000</v>
      </c>
      <c r="I26" s="115" t="s">
        <v>409</v>
      </c>
      <c r="J26" s="86"/>
      <c r="K26" s="86"/>
      <c r="L26" s="37"/>
    </row>
    <row r="27" spans="1:12">
      <c r="F27" s="86"/>
      <c r="G27" s="176">
        <v>44556</v>
      </c>
      <c r="H27" s="116">
        <v>6000</v>
      </c>
      <c r="I27" s="115" t="s">
        <v>422</v>
      </c>
      <c r="J27" s="86"/>
      <c r="K27" s="86"/>
      <c r="L27" s="37"/>
    </row>
    <row r="28" spans="1:12">
      <c r="F28" s="86"/>
      <c r="G28" s="38" t="s">
        <v>84</v>
      </c>
      <c r="H28" s="38" t="s">
        <v>423</v>
      </c>
      <c r="I28" s="94"/>
      <c r="J28" s="86"/>
      <c r="K28" s="86"/>
      <c r="L28" s="37"/>
    </row>
    <row r="29" spans="1:12">
      <c r="B29" s="159"/>
      <c r="C29" s="140"/>
      <c r="I29" s="94"/>
      <c r="J29" s="86"/>
      <c r="K29" s="86"/>
    </row>
    <row r="30" spans="1:12">
      <c r="B30" s="90"/>
      <c r="C30" s="123"/>
      <c r="D30" s="123"/>
      <c r="E30" s="123"/>
      <c r="F30" s="86"/>
      <c r="G30" s="86"/>
      <c r="H30" s="101"/>
      <c r="I30" s="86"/>
      <c r="J30" s="86"/>
      <c r="K30" s="86"/>
    </row>
    <row r="31" spans="1:12">
      <c r="B31" s="174"/>
      <c r="C31" s="123"/>
      <c r="D31" s="123"/>
      <c r="E31" s="123"/>
      <c r="F31" s="86"/>
      <c r="G31" s="86"/>
      <c r="H31" s="101"/>
      <c r="I31" s="86"/>
      <c r="J31" s="86"/>
      <c r="K31" s="86"/>
    </row>
    <row r="32" spans="1:12">
      <c r="A32" s="86"/>
      <c r="B32" s="101"/>
      <c r="C32" s="118"/>
      <c r="D32" s="226"/>
      <c r="E32" s="137"/>
      <c r="F32" s="86"/>
      <c r="G32" s="86"/>
      <c r="H32" s="101"/>
      <c r="I32" s="86"/>
      <c r="J32" s="86"/>
      <c r="K32" s="86"/>
    </row>
    <row r="33" spans="1:11">
      <c r="A33" s="86"/>
      <c r="B33" s="101"/>
      <c r="C33" s="118"/>
      <c r="D33" s="226"/>
      <c r="E33" s="138"/>
      <c r="F33" s="86"/>
      <c r="G33" s="86"/>
      <c r="H33" s="101"/>
      <c r="I33" s="86"/>
      <c r="J33" s="86"/>
      <c r="K33" s="86"/>
    </row>
    <row r="34" spans="1:11">
      <c r="A34" s="86"/>
      <c r="B34" s="101"/>
      <c r="C34" s="118"/>
      <c r="D34" s="226"/>
      <c r="E34" s="137"/>
      <c r="F34" s="86"/>
      <c r="G34" s="86"/>
      <c r="H34" s="101"/>
      <c r="I34" s="86"/>
      <c r="J34" s="86"/>
      <c r="K34" s="86"/>
    </row>
    <row r="35" spans="1:11">
      <c r="A35" s="87"/>
      <c r="B35" s="101"/>
      <c r="C35" s="118"/>
      <c r="D35" s="226"/>
      <c r="E35" s="137"/>
      <c r="F35" s="86"/>
      <c r="G35" s="86"/>
      <c r="H35" s="101"/>
      <c r="I35" s="86"/>
      <c r="J35" s="86"/>
      <c r="K35" s="86"/>
    </row>
    <row r="36" spans="1:11">
      <c r="A36" s="174"/>
      <c r="B36" s="174"/>
      <c r="C36" s="118"/>
      <c r="D36" s="118"/>
      <c r="E36" s="94"/>
      <c r="F36" s="86"/>
      <c r="G36" s="86"/>
      <c r="H36" s="101"/>
      <c r="I36" s="86"/>
      <c r="J36" s="86"/>
      <c r="K36" s="86"/>
    </row>
    <row r="37" spans="1:11">
      <c r="A37" s="181"/>
      <c r="B37" s="86"/>
      <c r="C37" s="86"/>
      <c r="D37" s="86"/>
      <c r="E37" s="86"/>
      <c r="F37" s="86"/>
      <c r="G37" s="86"/>
      <c r="H37" s="101"/>
      <c r="I37" s="86"/>
      <c r="J37" s="86"/>
      <c r="K37" s="86"/>
    </row>
    <row r="38" spans="1:11">
      <c r="A38" s="181"/>
      <c r="B38" s="86"/>
      <c r="C38" s="86"/>
      <c r="D38" s="86"/>
      <c r="E38" s="86"/>
      <c r="F38" s="86"/>
      <c r="G38" s="86"/>
      <c r="H38" s="101"/>
      <c r="I38" s="86"/>
      <c r="J38" s="86"/>
      <c r="K38" s="86"/>
    </row>
    <row r="39" spans="1:11">
      <c r="A39" s="181"/>
      <c r="B39" s="86"/>
      <c r="C39" s="86"/>
      <c r="D39" s="86"/>
      <c r="E39" s="86"/>
      <c r="F39" s="86"/>
      <c r="G39" s="86"/>
      <c r="H39" s="101"/>
      <c r="I39" s="86"/>
      <c r="J39" s="86"/>
      <c r="K39" s="86"/>
    </row>
    <row r="40" spans="1:11">
      <c r="A40" s="109"/>
      <c r="B40" s="86"/>
      <c r="C40" s="86"/>
      <c r="D40" s="86"/>
      <c r="E40" s="86"/>
      <c r="F40" s="86"/>
      <c r="G40" s="86"/>
      <c r="H40" s="101"/>
      <c r="I40" s="86"/>
      <c r="J40" s="86"/>
      <c r="K40" s="86"/>
    </row>
    <row r="41" spans="1:11">
      <c r="A41" s="109"/>
      <c r="B41" s="86"/>
      <c r="C41" s="86"/>
      <c r="D41" s="86"/>
      <c r="E41" s="86"/>
      <c r="F41" s="86"/>
      <c r="G41" s="86"/>
      <c r="H41" s="101"/>
      <c r="I41" s="86"/>
      <c r="J41" s="86"/>
      <c r="K41" s="86"/>
    </row>
    <row r="42" spans="1:11">
      <c r="A42" s="109"/>
      <c r="B42" s="86"/>
      <c r="C42" s="86"/>
      <c r="D42" s="86"/>
      <c r="E42" s="86"/>
      <c r="F42" s="86"/>
      <c r="G42" s="86"/>
      <c r="H42" s="101"/>
      <c r="I42" s="86"/>
      <c r="J42" s="86"/>
      <c r="K42" s="86"/>
    </row>
    <row r="43" spans="1:11">
      <c r="A43" s="109"/>
      <c r="B43" s="86"/>
      <c r="C43" s="86"/>
      <c r="D43" s="86"/>
      <c r="E43" s="86"/>
      <c r="F43" s="86"/>
      <c r="G43" s="86"/>
      <c r="H43" s="101"/>
      <c r="I43" s="86"/>
      <c r="J43" s="86"/>
      <c r="K43" s="86"/>
    </row>
    <row r="44" spans="1:11">
      <c r="A44" s="109"/>
      <c r="B44" s="86"/>
      <c r="C44" s="86"/>
      <c r="D44" s="86"/>
      <c r="E44" s="86"/>
      <c r="F44" s="86"/>
      <c r="G44" s="86"/>
      <c r="H44" s="101"/>
      <c r="I44" s="86"/>
      <c r="J44" s="86"/>
      <c r="K44" s="86"/>
    </row>
    <row r="45" spans="1:11">
      <c r="A45" s="109"/>
      <c r="B45" s="86"/>
      <c r="C45" s="86"/>
      <c r="D45" s="86"/>
      <c r="E45" s="86"/>
      <c r="F45" s="86"/>
      <c r="G45" s="86"/>
      <c r="H45" s="101"/>
      <c r="I45" s="86"/>
      <c r="J45" s="86"/>
      <c r="K45" s="86"/>
    </row>
    <row r="46" spans="1:11">
      <c r="A46" s="109"/>
      <c r="B46" s="86"/>
      <c r="C46" s="86"/>
      <c r="D46" s="86"/>
      <c r="E46" s="86"/>
      <c r="F46" s="86"/>
      <c r="G46" s="86"/>
      <c r="H46" s="101"/>
      <c r="I46" s="86"/>
      <c r="J46" s="86"/>
      <c r="K46" s="86"/>
    </row>
    <row r="47" spans="1:11">
      <c r="A47" s="86"/>
      <c r="B47" s="86"/>
      <c r="C47" s="86"/>
      <c r="D47" s="86"/>
      <c r="E47" s="86"/>
      <c r="F47" s="86"/>
      <c r="G47" s="86"/>
      <c r="H47" s="101"/>
      <c r="I47" s="86"/>
      <c r="J47" s="86"/>
      <c r="K47" s="86"/>
    </row>
    <row r="48" spans="1:11">
      <c r="A48" s="86"/>
      <c r="B48" s="86"/>
      <c r="C48" s="86"/>
      <c r="D48" s="86"/>
      <c r="E48" s="86"/>
      <c r="F48" s="86"/>
      <c r="G48" s="86"/>
      <c r="H48" s="101"/>
      <c r="I48" s="86"/>
      <c r="J48" s="86"/>
      <c r="K48" s="86"/>
    </row>
    <row r="49" spans="1:11">
      <c r="A49" s="86"/>
      <c r="B49" s="86"/>
      <c r="C49" s="86"/>
      <c r="D49" s="86"/>
      <c r="E49" s="86"/>
      <c r="F49" s="86"/>
      <c r="G49" s="86"/>
      <c r="H49" s="101"/>
      <c r="I49" s="86"/>
      <c r="J49" s="86"/>
      <c r="K49" s="86"/>
    </row>
    <row r="50" spans="1:11">
      <c r="A50" s="86"/>
      <c r="B50" s="86"/>
      <c r="C50" s="86"/>
      <c r="D50" s="86"/>
      <c r="E50" s="86"/>
      <c r="F50" s="86"/>
      <c r="G50" s="86"/>
      <c r="H50" s="101"/>
      <c r="I50" s="86"/>
      <c r="J50" s="86"/>
      <c r="K50" s="86"/>
    </row>
    <row r="51" spans="1:11">
      <c r="A51" s="86"/>
      <c r="B51" s="86"/>
      <c r="C51" s="86"/>
      <c r="D51" s="86"/>
      <c r="E51" s="86"/>
      <c r="F51" s="86"/>
      <c r="G51" s="86"/>
      <c r="H51" s="101"/>
      <c r="I51" s="86"/>
      <c r="J51" s="86"/>
      <c r="K51" s="86"/>
    </row>
    <row r="52" spans="1:11">
      <c r="A52" s="86"/>
      <c r="B52" s="86"/>
      <c r="C52" s="86"/>
      <c r="D52" s="86"/>
      <c r="E52" s="86"/>
      <c r="F52" s="86"/>
      <c r="G52" s="86"/>
      <c r="H52" s="101"/>
      <c r="I52" s="86"/>
      <c r="J52" s="86"/>
      <c r="K52" s="86"/>
    </row>
    <row r="53" spans="1:11">
      <c r="A53" s="86"/>
      <c r="B53" s="86"/>
      <c r="C53" s="86"/>
      <c r="D53" s="86"/>
      <c r="E53" s="86"/>
      <c r="F53" s="86"/>
      <c r="G53" s="86"/>
      <c r="H53" s="101"/>
      <c r="I53" s="86"/>
      <c r="J53" s="86"/>
      <c r="K53" s="86"/>
    </row>
    <row r="54" spans="1:11">
      <c r="A54" s="86"/>
      <c r="B54" s="86"/>
      <c r="C54" s="86"/>
      <c r="D54" s="86"/>
      <c r="E54" s="86"/>
      <c r="F54" s="86"/>
      <c r="G54" s="86"/>
      <c r="H54" s="101"/>
      <c r="I54" s="86"/>
      <c r="J54" s="86"/>
      <c r="K54" s="86"/>
    </row>
    <row r="55" spans="1:11">
      <c r="A55" s="86"/>
      <c r="B55" s="86"/>
      <c r="C55" s="86"/>
      <c r="D55" s="86"/>
      <c r="E55" s="86"/>
      <c r="F55" s="86"/>
      <c r="G55" s="86"/>
      <c r="H55" s="101"/>
      <c r="I55" s="86"/>
      <c r="J55" s="86"/>
      <c r="K55" s="86"/>
    </row>
    <row r="56" spans="1:11">
      <c r="A56" s="86"/>
      <c r="B56" s="86"/>
      <c r="C56" s="86"/>
      <c r="D56" s="86"/>
      <c r="E56" s="86"/>
      <c r="F56" s="86"/>
      <c r="G56" s="86"/>
      <c r="H56" s="101"/>
      <c r="I56" s="86"/>
      <c r="J56" s="86"/>
      <c r="K56" s="86"/>
    </row>
    <row r="57" spans="1:11">
      <c r="A57" s="86"/>
      <c r="B57" s="86"/>
      <c r="C57" s="86"/>
      <c r="D57" s="86"/>
      <c r="E57" s="86"/>
      <c r="F57" s="86"/>
      <c r="G57" s="86"/>
      <c r="H57" s="101"/>
      <c r="I57" s="86"/>
      <c r="J57" s="86"/>
      <c r="K57" s="86"/>
    </row>
    <row r="58" spans="1:11">
      <c r="A58" s="86"/>
      <c r="B58" s="86"/>
      <c r="C58" s="86"/>
      <c r="D58" s="86"/>
      <c r="E58" s="86"/>
      <c r="F58" s="86"/>
      <c r="G58" s="86"/>
      <c r="H58" s="101"/>
      <c r="I58" s="86"/>
      <c r="J58" s="86"/>
      <c r="K58" s="86"/>
    </row>
    <row r="59" spans="1:11">
      <c r="A59" s="86"/>
      <c r="B59" s="86"/>
      <c r="C59" s="86"/>
      <c r="D59" s="86"/>
      <c r="E59" s="86"/>
      <c r="F59" s="86"/>
      <c r="G59" s="86"/>
      <c r="H59" s="101"/>
      <c r="I59" s="86"/>
      <c r="J59" s="86"/>
      <c r="K59" s="86"/>
    </row>
    <row r="60" spans="1:11">
      <c r="A60" s="86"/>
      <c r="B60" s="86"/>
      <c r="C60" s="86"/>
      <c r="D60" s="86"/>
      <c r="E60" s="86"/>
      <c r="F60" s="86"/>
      <c r="G60" s="86"/>
      <c r="H60" s="101"/>
      <c r="I60" s="86"/>
      <c r="J60" s="86"/>
      <c r="K60" s="86"/>
    </row>
    <row r="61" spans="1:11">
      <c r="A61" s="86"/>
      <c r="B61" s="86"/>
      <c r="C61" s="86"/>
      <c r="D61" s="86"/>
      <c r="E61" s="86"/>
      <c r="F61" s="86"/>
      <c r="G61" s="86"/>
      <c r="H61" s="101"/>
      <c r="I61" s="86"/>
      <c r="J61" s="86"/>
      <c r="K61" s="86"/>
    </row>
    <row r="62" spans="1:11">
      <c r="A62" s="86"/>
      <c r="B62" s="86"/>
      <c r="C62" s="86"/>
      <c r="D62" s="86"/>
      <c r="E62" s="86"/>
      <c r="F62" s="86"/>
      <c r="G62" s="86"/>
      <c r="H62" s="101"/>
      <c r="I62" s="86"/>
      <c r="J62" s="86"/>
      <c r="K62" s="86"/>
    </row>
    <row r="63" spans="1:11">
      <c r="A63" s="86"/>
      <c r="B63" s="86"/>
      <c r="C63" s="86"/>
      <c r="D63" s="86"/>
      <c r="E63" s="86"/>
      <c r="F63" s="86"/>
      <c r="G63" s="86"/>
      <c r="H63" s="101"/>
      <c r="I63" s="86"/>
      <c r="J63" s="86"/>
      <c r="K63" s="86"/>
    </row>
    <row r="64" spans="1:11">
      <c r="A64" s="86"/>
      <c r="B64" s="86"/>
      <c r="C64" s="86"/>
      <c r="D64" s="86"/>
      <c r="E64" s="86"/>
      <c r="F64" s="86"/>
      <c r="G64" s="86"/>
      <c r="H64" s="101"/>
      <c r="I64" s="86"/>
      <c r="J64" s="86"/>
      <c r="K64" s="86"/>
    </row>
    <row r="65" spans="1:11">
      <c r="A65" s="86"/>
      <c r="B65" s="86"/>
      <c r="C65" s="86"/>
      <c r="D65" s="86"/>
      <c r="E65" s="86"/>
      <c r="F65" s="86"/>
      <c r="G65" s="86"/>
      <c r="H65" s="101"/>
      <c r="I65" s="86"/>
      <c r="J65" s="86"/>
      <c r="K65" s="86"/>
    </row>
    <row r="66" spans="1:11">
      <c r="A66" s="86"/>
      <c r="B66" s="86"/>
      <c r="C66" s="86"/>
      <c r="D66" s="86"/>
      <c r="E66" s="86"/>
      <c r="F66" s="86"/>
      <c r="G66" s="86"/>
      <c r="H66" s="101"/>
      <c r="I66" s="86"/>
      <c r="J66" s="86"/>
      <c r="K66" s="86"/>
    </row>
    <row r="67" spans="1:11">
      <c r="A67" s="86"/>
      <c r="B67" s="86"/>
      <c r="C67" s="86"/>
      <c r="D67" s="86"/>
      <c r="E67" s="86"/>
      <c r="F67" s="86"/>
      <c r="G67" s="86"/>
      <c r="H67" s="101"/>
      <c r="I67" s="86"/>
      <c r="J67" s="86"/>
      <c r="K67" s="86"/>
    </row>
    <row r="68" spans="1:11">
      <c r="A68" s="86"/>
      <c r="B68" s="86"/>
      <c r="C68" s="86"/>
      <c r="D68" s="86"/>
      <c r="E68" s="86"/>
      <c r="F68" s="86"/>
      <c r="G68" s="86"/>
      <c r="H68" s="101"/>
      <c r="I68" s="86"/>
      <c r="J68" s="86"/>
      <c r="K68" s="86"/>
    </row>
    <row r="69" spans="1:11">
      <c r="A69" s="86"/>
      <c r="B69" s="86"/>
      <c r="C69" s="86"/>
      <c r="D69" s="86"/>
      <c r="E69" s="86"/>
      <c r="F69" s="86"/>
      <c r="G69" s="86"/>
      <c r="H69" s="101"/>
      <c r="I69" s="86"/>
      <c r="J69" s="86"/>
      <c r="K69" s="86"/>
    </row>
    <row r="70" spans="1:11">
      <c r="A70" s="86"/>
      <c r="B70" s="86"/>
      <c r="C70" s="86"/>
      <c r="D70" s="86"/>
      <c r="E70" s="86"/>
      <c r="F70" s="86"/>
      <c r="G70" s="86"/>
      <c r="H70" s="101"/>
      <c r="I70" s="86"/>
      <c r="J70" s="86"/>
      <c r="K70" s="86"/>
    </row>
    <row r="71" spans="1:11">
      <c r="A71" s="86"/>
      <c r="B71" s="86"/>
      <c r="C71" s="86"/>
      <c r="D71" s="86"/>
      <c r="E71" s="86"/>
      <c r="F71" s="86"/>
      <c r="G71" s="86"/>
      <c r="H71" s="101"/>
      <c r="I71" s="86"/>
      <c r="J71" s="86"/>
      <c r="K71" s="86"/>
    </row>
    <row r="72" spans="1:11">
      <c r="A72" s="86"/>
      <c r="B72" s="86"/>
      <c r="C72" s="86"/>
      <c r="D72" s="86"/>
      <c r="E72" s="86"/>
      <c r="F72" s="86"/>
      <c r="G72" s="86"/>
      <c r="H72" s="101"/>
      <c r="I72" s="86"/>
      <c r="J72" s="86"/>
      <c r="K72" s="86"/>
    </row>
    <row r="73" spans="1:11">
      <c r="A73" s="86"/>
      <c r="B73" s="86"/>
      <c r="C73" s="86"/>
      <c r="D73" s="86"/>
      <c r="E73" s="86"/>
      <c r="F73" s="86"/>
      <c r="G73" s="86"/>
      <c r="H73" s="101"/>
      <c r="I73" s="86"/>
      <c r="J73" s="86"/>
      <c r="K73" s="86"/>
    </row>
    <row r="74" spans="1:11">
      <c r="A74" s="86"/>
      <c r="B74" s="86"/>
      <c r="C74" s="86"/>
      <c r="D74" s="86"/>
      <c r="E74" s="86"/>
      <c r="F74" s="86"/>
      <c r="G74" s="86"/>
      <c r="H74" s="101"/>
      <c r="I74" s="86"/>
      <c r="J74" s="86"/>
      <c r="K74" s="86"/>
    </row>
    <row r="75" spans="1:11">
      <c r="A75" s="86"/>
      <c r="B75" s="86"/>
      <c r="C75" s="86"/>
      <c r="D75" s="86"/>
      <c r="E75" s="86"/>
      <c r="F75" s="86"/>
      <c r="G75" s="86"/>
      <c r="H75" s="101"/>
      <c r="I75" s="86"/>
      <c r="J75" s="86"/>
      <c r="K75" s="86"/>
    </row>
    <row r="76" spans="1:11">
      <c r="A76" s="86"/>
      <c r="B76" s="86"/>
      <c r="C76" s="86"/>
      <c r="D76" s="86"/>
      <c r="E76" s="86"/>
      <c r="F76" s="86"/>
      <c r="G76" s="86"/>
      <c r="H76" s="101"/>
      <c r="I76" s="86"/>
      <c r="J76" s="86"/>
      <c r="K76" s="86"/>
    </row>
    <row r="77" spans="1:11">
      <c r="A77" s="86"/>
      <c r="B77" s="86"/>
      <c r="C77" s="86"/>
      <c r="D77" s="86"/>
      <c r="E77" s="86"/>
      <c r="F77" s="86"/>
      <c r="G77" s="86"/>
      <c r="H77" s="101"/>
      <c r="I77" s="86"/>
      <c r="J77" s="86"/>
      <c r="K77" s="86"/>
    </row>
    <row r="78" spans="1:11">
      <c r="A78" s="86"/>
      <c r="B78" s="86"/>
      <c r="C78" s="86"/>
      <c r="D78" s="86"/>
      <c r="E78" s="86"/>
      <c r="F78" s="86"/>
      <c r="G78" s="86"/>
      <c r="H78" s="101"/>
      <c r="I78" s="86"/>
      <c r="J78" s="86"/>
      <c r="K78" s="86"/>
    </row>
    <row r="79" spans="1:11">
      <c r="A79" s="86"/>
      <c r="B79" s="86"/>
      <c r="C79" s="86"/>
      <c r="D79" s="86"/>
      <c r="E79" s="86"/>
      <c r="F79" s="86"/>
      <c r="G79" s="86"/>
      <c r="H79" s="101"/>
      <c r="I79" s="86"/>
      <c r="J79" s="86"/>
      <c r="K79" s="86"/>
    </row>
    <row r="80" spans="1:11">
      <c r="A80" s="86"/>
      <c r="B80" s="86"/>
      <c r="C80" s="86"/>
      <c r="D80" s="86"/>
      <c r="E80" s="86"/>
      <c r="F80" s="86"/>
      <c r="G80" s="86"/>
      <c r="H80" s="101"/>
      <c r="I80" s="86"/>
      <c r="J80" s="86"/>
      <c r="K80" s="86"/>
    </row>
    <row r="81" spans="1:11">
      <c r="A81" s="86"/>
      <c r="B81" s="86"/>
      <c r="C81" s="86"/>
      <c r="D81" s="86"/>
      <c r="E81" s="86"/>
      <c r="F81" s="86"/>
      <c r="G81" s="86"/>
      <c r="H81" s="101"/>
      <c r="I81" s="86"/>
      <c r="J81" s="86"/>
      <c r="K81" s="86"/>
    </row>
    <row r="82" spans="1:11">
      <c r="A82" s="86"/>
      <c r="B82" s="86"/>
      <c r="C82" s="86"/>
      <c r="D82" s="86"/>
      <c r="E82" s="86"/>
      <c r="F82" s="86"/>
      <c r="G82" s="86"/>
      <c r="H82" s="101"/>
      <c r="I82" s="86"/>
      <c r="J82" s="86"/>
      <c r="K82" s="86"/>
    </row>
    <row r="83" spans="1:11">
      <c r="A83" s="86"/>
      <c r="B83" s="86"/>
      <c r="C83" s="86"/>
      <c r="D83" s="86"/>
      <c r="E83" s="86"/>
      <c r="F83" s="86"/>
      <c r="G83" s="86"/>
      <c r="H83" s="101"/>
      <c r="I83" s="86"/>
      <c r="J83" s="86"/>
      <c r="K83" s="86"/>
    </row>
    <row r="84" spans="1:11">
      <c r="A84" s="86"/>
      <c r="B84" s="86"/>
      <c r="C84" s="86"/>
      <c r="D84" s="86"/>
      <c r="E84" s="86"/>
      <c r="F84" s="86"/>
      <c r="G84" s="86"/>
      <c r="H84" s="101"/>
      <c r="I84" s="86"/>
      <c r="J84" s="86"/>
      <c r="K84" s="86"/>
    </row>
    <row r="85" spans="1:11">
      <c r="A85" s="86"/>
      <c r="B85" s="86"/>
      <c r="C85" s="86"/>
      <c r="D85" s="86"/>
      <c r="E85" s="86"/>
      <c r="F85" s="86"/>
      <c r="G85" s="86"/>
      <c r="H85" s="101"/>
      <c r="I85" s="86"/>
      <c r="J85" s="86"/>
      <c r="K85" s="86"/>
    </row>
    <row r="86" spans="1:11">
      <c r="A86" s="86"/>
      <c r="B86" s="86"/>
      <c r="C86" s="86"/>
      <c r="D86" s="86"/>
      <c r="E86" s="86"/>
      <c r="F86" s="86"/>
      <c r="G86" s="86"/>
      <c r="H86" s="101"/>
      <c r="I86" s="86"/>
      <c r="J86" s="86"/>
      <c r="K86" s="86"/>
    </row>
    <row r="87" spans="1:11">
      <c r="A87" s="86"/>
      <c r="B87" s="86"/>
      <c r="C87" s="86"/>
      <c r="D87" s="86"/>
      <c r="E87" s="86"/>
      <c r="F87" s="86"/>
      <c r="G87" s="86"/>
      <c r="H87" s="101"/>
      <c r="I87" s="86"/>
      <c r="J87" s="86"/>
      <c r="K87" s="86"/>
    </row>
    <row r="88" spans="1:11">
      <c r="A88" s="86"/>
      <c r="B88" s="86"/>
      <c r="C88" s="86"/>
      <c r="D88" s="86"/>
      <c r="E88" s="86"/>
      <c r="F88" s="86"/>
      <c r="G88" s="86"/>
      <c r="H88" s="101"/>
      <c r="I88" s="86"/>
      <c r="J88" s="86"/>
      <c r="K88" s="86"/>
    </row>
    <row r="89" spans="1:11">
      <c r="A89" s="86"/>
      <c r="B89" s="86"/>
      <c r="C89" s="86"/>
      <c r="D89" s="86"/>
      <c r="E89" s="86"/>
      <c r="F89" s="86"/>
      <c r="H89" s="110"/>
      <c r="J89" s="86"/>
      <c r="K89" s="86"/>
    </row>
    <row r="90" spans="1:11">
      <c r="A90" s="86"/>
      <c r="B90" s="86"/>
      <c r="C90" s="86"/>
      <c r="D90" s="86"/>
      <c r="E90" s="86"/>
      <c r="F90" s="86"/>
      <c r="H90" s="110"/>
      <c r="J90" s="86"/>
      <c r="K90" s="86"/>
    </row>
    <row r="91" spans="1:11">
      <c r="A91" s="86"/>
      <c r="B91" s="86"/>
      <c r="C91" s="86"/>
      <c r="D91" s="86"/>
      <c r="E91" s="86"/>
      <c r="F91" s="86"/>
      <c r="H91" s="110"/>
      <c r="J91" s="86"/>
      <c r="K91" s="86"/>
    </row>
    <row r="92" spans="1:11">
      <c r="A92" s="86"/>
      <c r="B92" s="86"/>
      <c r="C92" s="86"/>
      <c r="D92" s="86"/>
      <c r="E92" s="86"/>
      <c r="F92" s="86"/>
      <c r="H92" s="110"/>
      <c r="J92" s="86"/>
      <c r="K92" s="86"/>
    </row>
    <row r="93" spans="1:11">
      <c r="A93" s="86"/>
      <c r="B93" s="86"/>
      <c r="C93" s="86"/>
      <c r="D93" s="86"/>
      <c r="E93" s="86"/>
      <c r="F93" s="86"/>
      <c r="H93" s="110"/>
      <c r="J93" s="86"/>
      <c r="K93" s="86"/>
    </row>
    <row r="94" spans="1:11">
      <c r="A94" s="86"/>
      <c r="B94" s="86"/>
      <c r="C94" s="86"/>
      <c r="D94" s="86"/>
      <c r="E94" s="86"/>
      <c r="F94" s="86"/>
      <c r="H94" s="110"/>
      <c r="J94" s="86"/>
      <c r="K94" s="86"/>
    </row>
    <row r="95" spans="1:11">
      <c r="A95" s="86"/>
      <c r="B95" s="86"/>
      <c r="C95" s="86"/>
      <c r="D95" s="86"/>
      <c r="E95" s="86"/>
      <c r="F95" s="86"/>
      <c r="H95" s="110"/>
      <c r="J95" s="86"/>
      <c r="K95" s="86"/>
    </row>
    <row r="96" spans="1:11">
      <c r="A96" s="86"/>
      <c r="B96" s="86"/>
      <c r="C96" s="86"/>
      <c r="D96" s="86"/>
      <c r="E96" s="86"/>
      <c r="F96" s="86"/>
      <c r="H96" s="110"/>
      <c r="J96" s="86"/>
      <c r="K96" s="86"/>
    </row>
    <row r="97" spans="1:11">
      <c r="A97" s="86"/>
      <c r="B97" s="86"/>
      <c r="C97" s="86"/>
      <c r="D97" s="86"/>
      <c r="E97" s="86"/>
      <c r="F97" s="86"/>
      <c r="H97" s="110"/>
      <c r="J97" s="86"/>
      <c r="K97" s="86"/>
    </row>
    <row r="98" spans="1:11">
      <c r="A98" s="86"/>
      <c r="B98" s="86"/>
      <c r="C98" s="86"/>
      <c r="D98" s="86"/>
      <c r="E98" s="86"/>
      <c r="F98" s="86"/>
      <c r="H98" s="110"/>
      <c r="J98" s="86"/>
      <c r="K98" s="86"/>
    </row>
    <row r="99" spans="1:11">
      <c r="A99" s="86"/>
      <c r="B99" s="86"/>
      <c r="C99" s="86"/>
      <c r="D99" s="86"/>
      <c r="E99" s="86"/>
      <c r="F99" s="86"/>
      <c r="H99" s="110"/>
      <c r="J99" s="86"/>
      <c r="K99" s="86"/>
    </row>
    <row r="100" spans="1:11">
      <c r="A100" s="86"/>
      <c r="B100" s="86"/>
      <c r="C100" s="86"/>
      <c r="D100" s="86"/>
      <c r="E100" s="86"/>
      <c r="F100" s="86"/>
      <c r="H100" s="110"/>
      <c r="J100" s="86"/>
      <c r="K100" s="86"/>
    </row>
    <row r="101" spans="1:11">
      <c r="A101" s="86"/>
      <c r="B101" s="86"/>
      <c r="C101" s="86"/>
      <c r="D101" s="86"/>
      <c r="E101" s="86"/>
      <c r="F101" s="86"/>
      <c r="H101" s="110"/>
      <c r="J101" s="86"/>
      <c r="K101" s="86"/>
    </row>
    <row r="102" spans="1:11">
      <c r="A102" s="86"/>
      <c r="B102" s="86"/>
      <c r="C102" s="86"/>
      <c r="D102" s="86"/>
      <c r="E102" s="86"/>
      <c r="F102" s="86"/>
      <c r="H102" s="110"/>
      <c r="J102" s="86"/>
      <c r="K102" s="86"/>
    </row>
    <row r="103" spans="1:11">
      <c r="A103" s="86"/>
      <c r="B103" s="86"/>
      <c r="C103" s="86"/>
      <c r="D103" s="86"/>
      <c r="E103" s="86"/>
      <c r="F103" s="86"/>
      <c r="H103" s="110"/>
      <c r="J103" s="86"/>
      <c r="K103" s="86"/>
    </row>
    <row r="104" spans="1:11">
      <c r="A104" s="86"/>
      <c r="B104" s="86"/>
      <c r="C104" s="86"/>
      <c r="D104" s="86"/>
      <c r="E104" s="86"/>
      <c r="F104" s="86"/>
      <c r="H104" s="110"/>
      <c r="J104" s="86"/>
      <c r="K104" s="86"/>
    </row>
    <row r="105" spans="1:11">
      <c r="A105" s="86"/>
      <c r="B105" s="86"/>
      <c r="C105" s="86"/>
      <c r="D105" s="86"/>
      <c r="E105" s="86"/>
      <c r="F105" s="86"/>
      <c r="H105" s="110"/>
      <c r="J105" s="86"/>
      <c r="K105" s="86"/>
    </row>
    <row r="106" spans="1:11">
      <c r="A106" s="86"/>
      <c r="F106" s="86"/>
      <c r="H106" s="110"/>
      <c r="J106" s="86"/>
      <c r="K106" s="86"/>
    </row>
    <row r="107" spans="1:11">
      <c r="A107" s="86"/>
      <c r="F107" s="86"/>
      <c r="H107" s="110"/>
      <c r="J107" s="86"/>
      <c r="K107" s="86"/>
    </row>
    <row r="108" spans="1:11">
      <c r="A108" s="86"/>
      <c r="F108" s="86"/>
      <c r="H108" s="110"/>
      <c r="J108" s="86"/>
      <c r="K108" s="86"/>
    </row>
    <row r="109" spans="1:11">
      <c r="A109" s="86"/>
      <c r="F109" s="86"/>
      <c r="H109" s="110"/>
      <c r="J109" s="86"/>
      <c r="K109" s="86"/>
    </row>
    <row r="110" spans="1:11">
      <c r="A110" s="86"/>
      <c r="F110" s="86"/>
      <c r="H110" s="110"/>
      <c r="J110" s="86"/>
      <c r="K110" s="86"/>
    </row>
    <row r="111" spans="1:11">
      <c r="A111" s="86"/>
      <c r="F111" s="86"/>
      <c r="H111" s="110"/>
      <c r="J111" s="86"/>
      <c r="K111" s="86"/>
    </row>
    <row r="112" spans="1:11">
      <c r="A112" s="86"/>
      <c r="F112" s="86"/>
      <c r="H112" s="110"/>
      <c r="J112" s="86"/>
      <c r="K112" s="86"/>
    </row>
    <row r="113" spans="1:11">
      <c r="A113" s="86"/>
      <c r="F113" s="86"/>
      <c r="H113" s="110"/>
      <c r="J113" s="86"/>
      <c r="K113" s="86"/>
    </row>
    <row r="114" spans="1:11">
      <c r="A114" s="86"/>
      <c r="F114" s="86"/>
      <c r="H114" s="110"/>
      <c r="J114" s="86"/>
      <c r="K114" s="86"/>
    </row>
    <row r="115" spans="1:11">
      <c r="A115" s="86"/>
      <c r="F115" s="86"/>
      <c r="H115" s="110"/>
      <c r="J115" s="86"/>
      <c r="K115" s="86"/>
    </row>
    <row r="116" spans="1:11">
      <c r="A116" s="86"/>
      <c r="F116" s="86"/>
      <c r="H116" s="110"/>
      <c r="J116" s="86"/>
      <c r="K116" s="86"/>
    </row>
    <row r="117" spans="1:11">
      <c r="H117" s="110"/>
    </row>
    <row r="118" spans="1:11">
      <c r="H118" s="110"/>
    </row>
    <row r="119" spans="1:11">
      <c r="H119" s="110"/>
    </row>
    <row r="120" spans="1:11">
      <c r="H120" s="110"/>
    </row>
    <row r="121" spans="1:11">
      <c r="H121" s="110"/>
    </row>
    <row r="122" spans="1:11">
      <c r="H122" s="110"/>
    </row>
    <row r="123" spans="1:11">
      <c r="H123" s="110"/>
    </row>
    <row r="124" spans="1:11">
      <c r="H124" s="110"/>
    </row>
    <row r="125" spans="1:11">
      <c r="H125" s="110"/>
    </row>
    <row r="126" spans="1:11">
      <c r="H126" s="110"/>
    </row>
    <row r="127" spans="1:11">
      <c r="H127" s="110"/>
    </row>
    <row r="128" spans="1:11">
      <c r="H128" s="110"/>
    </row>
    <row r="129" spans="8:8">
      <c r="H129" s="110"/>
    </row>
    <row r="130" spans="8:8">
      <c r="H130" s="110"/>
    </row>
    <row r="131" spans="8:8">
      <c r="H131" s="110"/>
    </row>
    <row r="132" spans="8:8">
      <c r="H132" s="110"/>
    </row>
    <row r="133" spans="8:8">
      <c r="H133" s="110"/>
    </row>
    <row r="134" spans="8:8">
      <c r="H134" s="110"/>
    </row>
    <row r="135" spans="8:8">
      <c r="H135" s="110"/>
    </row>
    <row r="136" spans="8:8">
      <c r="H136" s="110"/>
    </row>
    <row r="137" spans="8:8">
      <c r="H137" s="110"/>
    </row>
    <row r="138" spans="8:8">
      <c r="H138" s="110"/>
    </row>
    <row r="139" spans="8:8">
      <c r="H139" s="110"/>
    </row>
    <row r="140" spans="8:8">
      <c r="H140" s="110"/>
    </row>
    <row r="141" spans="8:8">
      <c r="H141" s="110"/>
    </row>
    <row r="142" spans="8:8">
      <c r="H142" s="110"/>
    </row>
    <row r="143" spans="8:8">
      <c r="H143" s="110"/>
    </row>
    <row r="144" spans="8:8">
      <c r="H144" s="110"/>
    </row>
    <row r="145" spans="8:8">
      <c r="H145" s="110"/>
    </row>
    <row r="146" spans="8:8">
      <c r="H146" s="110"/>
    </row>
    <row r="147" spans="8:8">
      <c r="H147" s="110"/>
    </row>
    <row r="148" spans="8:8">
      <c r="H148" s="110"/>
    </row>
    <row r="149" spans="8:8">
      <c r="H149" s="110"/>
    </row>
    <row r="150" spans="8:8">
      <c r="H150" s="110"/>
    </row>
    <row r="151" spans="8:8">
      <c r="H151" s="110"/>
    </row>
    <row r="152" spans="8:8">
      <c r="H152" s="110"/>
    </row>
    <row r="153" spans="8:8">
      <c r="H153" s="110"/>
    </row>
    <row r="154" spans="8:8">
      <c r="H154" s="110"/>
    </row>
    <row r="155" spans="8:8">
      <c r="H155" s="110"/>
    </row>
    <row r="156" spans="8:8">
      <c r="H156" s="110"/>
    </row>
    <row r="157" spans="8:8">
      <c r="H157" s="110"/>
    </row>
    <row r="158" spans="8:8">
      <c r="H158" s="110"/>
    </row>
    <row r="159" spans="8:8">
      <c r="H159" s="110"/>
    </row>
    <row r="160" spans="8:8">
      <c r="H160" s="110"/>
    </row>
    <row r="161" spans="8:8">
      <c r="H161" s="110"/>
    </row>
    <row r="162" spans="8:8">
      <c r="H162" s="110"/>
    </row>
    <row r="163" spans="8:8">
      <c r="H163" s="110"/>
    </row>
    <row r="164" spans="8:8">
      <c r="H164" s="110"/>
    </row>
    <row r="165" spans="8:8">
      <c r="H165" s="110"/>
    </row>
    <row r="166" spans="8:8">
      <c r="H166" s="110"/>
    </row>
    <row r="167" spans="8:8">
      <c r="H167" s="110"/>
    </row>
    <row r="168" spans="8:8">
      <c r="H168" s="110"/>
    </row>
    <row r="169" spans="8:8">
      <c r="H169" s="110"/>
    </row>
    <row r="170" spans="8:8">
      <c r="H170" s="110"/>
    </row>
    <row r="171" spans="8:8">
      <c r="H171" s="110"/>
    </row>
    <row r="172" spans="8:8">
      <c r="H172" s="110"/>
    </row>
    <row r="173" spans="8:8">
      <c r="H173" s="110"/>
    </row>
    <row r="174" spans="8:8">
      <c r="H174" s="110"/>
    </row>
    <row r="175" spans="8:8">
      <c r="H175" s="110"/>
    </row>
    <row r="176" spans="8:8">
      <c r="H176" s="110"/>
    </row>
    <row r="177" spans="8:8">
      <c r="H177" s="110"/>
    </row>
    <row r="178" spans="8:8">
      <c r="H178" s="110"/>
    </row>
    <row r="179" spans="8:8">
      <c r="H179" s="110"/>
    </row>
    <row r="180" spans="8:8">
      <c r="H180" s="110"/>
    </row>
    <row r="181" spans="8:8">
      <c r="H181" s="110"/>
    </row>
    <row r="182" spans="8:8">
      <c r="H182" s="110"/>
    </row>
    <row r="183" spans="8:8">
      <c r="H183" s="110"/>
    </row>
    <row r="184" spans="8:8">
      <c r="H184" s="110"/>
    </row>
    <row r="185" spans="8:8">
      <c r="H185" s="110"/>
    </row>
    <row r="186" spans="8:8">
      <c r="H186" s="110"/>
    </row>
    <row r="187" spans="8:8">
      <c r="H187" s="110"/>
    </row>
    <row r="188" spans="8:8">
      <c r="H188" s="110"/>
    </row>
    <row r="189" spans="8:8">
      <c r="H189" s="110"/>
    </row>
    <row r="190" spans="8:8">
      <c r="H190" s="110"/>
    </row>
    <row r="191" spans="8:8">
      <c r="H191" s="110"/>
    </row>
    <row r="192" spans="8:8">
      <c r="H192" s="110"/>
    </row>
    <row r="193" spans="8:8">
      <c r="H193" s="110"/>
    </row>
    <row r="194" spans="8:8">
      <c r="H194" s="110"/>
    </row>
    <row r="195" spans="8:8">
      <c r="H195" s="110"/>
    </row>
    <row r="196" spans="8:8">
      <c r="H196" s="110"/>
    </row>
    <row r="197" spans="8:8">
      <c r="H197" s="110"/>
    </row>
    <row r="198" spans="8:8">
      <c r="H198" s="110"/>
    </row>
    <row r="199" spans="8:8">
      <c r="H199" s="110"/>
    </row>
    <row r="200" spans="8:8">
      <c r="H200" s="110"/>
    </row>
    <row r="201" spans="8:8">
      <c r="H201" s="110"/>
    </row>
    <row r="202" spans="8:8">
      <c r="H202" s="110"/>
    </row>
    <row r="203" spans="8:8">
      <c r="H203" s="110"/>
    </row>
    <row r="204" spans="8:8">
      <c r="H204" s="110"/>
    </row>
    <row r="205" spans="8:8">
      <c r="H205" s="110"/>
    </row>
    <row r="206" spans="8:8">
      <c r="H206" s="110"/>
    </row>
    <row r="207" spans="8:8">
      <c r="H207" s="110"/>
    </row>
    <row r="208" spans="8:8">
      <c r="H208" s="110"/>
    </row>
    <row r="209" spans="8:8">
      <c r="H209" s="110"/>
    </row>
    <row r="210" spans="8:8">
      <c r="H210" s="110"/>
    </row>
    <row r="211" spans="8:8">
      <c r="H211" s="110"/>
    </row>
    <row r="212" spans="8:8">
      <c r="H212" s="110"/>
    </row>
    <row r="213" spans="8:8">
      <c r="H213" s="110"/>
    </row>
    <row r="214" spans="8:8">
      <c r="H214" s="110"/>
    </row>
    <row r="215" spans="8:8">
      <c r="H215" s="110"/>
    </row>
    <row r="216" spans="8:8">
      <c r="H216" s="110"/>
    </row>
    <row r="217" spans="8:8">
      <c r="H217" s="110"/>
    </row>
    <row r="218" spans="8:8">
      <c r="H218" s="110"/>
    </row>
    <row r="219" spans="8:8">
      <c r="H219" s="110"/>
    </row>
    <row r="220" spans="8:8">
      <c r="H220" s="110"/>
    </row>
    <row r="221" spans="8:8">
      <c r="H221" s="110"/>
    </row>
    <row r="222" spans="8:8">
      <c r="H222" s="110"/>
    </row>
    <row r="223" spans="8:8">
      <c r="H223" s="110"/>
    </row>
    <row r="224" spans="8:8">
      <c r="H224" s="110"/>
    </row>
    <row r="225" spans="8:8">
      <c r="H225" s="110"/>
    </row>
    <row r="226" spans="8:8">
      <c r="H226" s="110"/>
    </row>
    <row r="227" spans="8:8">
      <c r="H227" s="110"/>
    </row>
    <row r="228" spans="8:8">
      <c r="H228" s="110"/>
    </row>
    <row r="229" spans="8:8">
      <c r="H229" s="110"/>
    </row>
    <row r="230" spans="8:8">
      <c r="H230" s="110"/>
    </row>
    <row r="231" spans="8:8">
      <c r="H231" s="110"/>
    </row>
    <row r="232" spans="8:8">
      <c r="H232" s="110"/>
    </row>
    <row r="233" spans="8:8">
      <c r="H233" s="110"/>
    </row>
    <row r="234" spans="8:8">
      <c r="H234" s="110"/>
    </row>
    <row r="235" spans="8:8">
      <c r="H235" s="110"/>
    </row>
    <row r="236" spans="8:8">
      <c r="H236" s="110"/>
    </row>
    <row r="237" spans="8:8">
      <c r="H237" s="110"/>
    </row>
    <row r="238" spans="8:8">
      <c r="H238" s="110"/>
    </row>
    <row r="239" spans="8:8">
      <c r="H239" s="110"/>
    </row>
    <row r="240" spans="8:8">
      <c r="H240" s="110"/>
    </row>
    <row r="241" spans="8:8">
      <c r="H241" s="110"/>
    </row>
    <row r="242" spans="8:8">
      <c r="H242" s="110"/>
    </row>
    <row r="243" spans="8:8">
      <c r="H243" s="110"/>
    </row>
    <row r="244" spans="8:8">
      <c r="H244" s="110"/>
    </row>
    <row r="245" spans="8:8">
      <c r="H245" s="110"/>
    </row>
    <row r="246" spans="8:8">
      <c r="H246" s="110"/>
    </row>
    <row r="247" spans="8:8">
      <c r="H247" s="110"/>
    </row>
    <row r="248" spans="8:8">
      <c r="H248" s="110"/>
    </row>
    <row r="249" spans="8:8">
      <c r="H249" s="110"/>
    </row>
    <row r="250" spans="8:8">
      <c r="H250" s="110"/>
    </row>
    <row r="251" spans="8:8">
      <c r="H251" s="110"/>
    </row>
    <row r="252" spans="8:8">
      <c r="H252" s="110"/>
    </row>
    <row r="253" spans="8:8">
      <c r="H253" s="110"/>
    </row>
    <row r="254" spans="8:8">
      <c r="H254" s="110"/>
    </row>
    <row r="255" spans="8:8">
      <c r="H255" s="110"/>
    </row>
    <row r="256" spans="8:8">
      <c r="H256" s="110"/>
    </row>
    <row r="257" spans="8:8">
      <c r="H257" s="110"/>
    </row>
    <row r="258" spans="8:8">
      <c r="H258" s="110"/>
    </row>
    <row r="259" spans="8:8">
      <c r="H259" s="110"/>
    </row>
    <row r="260" spans="8:8">
      <c r="H260" s="110"/>
    </row>
    <row r="261" spans="8:8">
      <c r="H261" s="110"/>
    </row>
    <row r="262" spans="8:8">
      <c r="H262" s="110"/>
    </row>
    <row r="263" spans="8:8">
      <c r="H263" s="110"/>
    </row>
    <row r="264" spans="8:8">
      <c r="H264" s="110"/>
    </row>
    <row r="265" spans="8:8">
      <c r="H265" s="110"/>
    </row>
    <row r="266" spans="8:8">
      <c r="H266" s="110"/>
    </row>
    <row r="267" spans="8:8">
      <c r="H267" s="110"/>
    </row>
    <row r="268" spans="8:8">
      <c r="H268" s="110"/>
    </row>
    <row r="269" spans="8:8">
      <c r="H269" s="110"/>
    </row>
    <row r="270" spans="8:8">
      <c r="H270" s="110"/>
    </row>
    <row r="271" spans="8:8">
      <c r="H271" s="110"/>
    </row>
    <row r="272" spans="8:8">
      <c r="H272" s="110"/>
    </row>
    <row r="273" spans="8:8">
      <c r="H273" s="110"/>
    </row>
    <row r="274" spans="8:8">
      <c r="H274" s="110"/>
    </row>
    <row r="275" spans="8:8">
      <c r="H275" s="110"/>
    </row>
    <row r="276" spans="8:8">
      <c r="H276" s="110"/>
    </row>
    <row r="277" spans="8:8">
      <c r="H277" s="110"/>
    </row>
    <row r="278" spans="8:8">
      <c r="H278" s="110"/>
    </row>
    <row r="279" spans="8:8">
      <c r="H279" s="110"/>
    </row>
    <row r="280" spans="8:8">
      <c r="H280" s="110"/>
    </row>
    <row r="281" spans="8:8">
      <c r="H281" s="110"/>
    </row>
    <row r="282" spans="8:8">
      <c r="H282" s="110"/>
    </row>
    <row r="283" spans="8:8">
      <c r="H283" s="110"/>
    </row>
    <row r="284" spans="8:8">
      <c r="H284" s="110"/>
    </row>
    <row r="285" spans="8:8">
      <c r="H285" s="110"/>
    </row>
    <row r="286" spans="8:8">
      <c r="H286" s="110"/>
    </row>
    <row r="287" spans="8:8">
      <c r="H287" s="110"/>
    </row>
    <row r="288" spans="8:8">
      <c r="H288" s="110"/>
    </row>
    <row r="289" spans="8:8">
      <c r="H289" s="110"/>
    </row>
    <row r="290" spans="8:8">
      <c r="H290" s="110"/>
    </row>
    <row r="291" spans="8:8">
      <c r="H291" s="110"/>
    </row>
    <row r="292" spans="8:8">
      <c r="H292" s="110"/>
    </row>
    <row r="293" spans="8:8">
      <c r="H293" s="110"/>
    </row>
    <row r="294" spans="8:8">
      <c r="H294" s="110"/>
    </row>
    <row r="295" spans="8:8">
      <c r="H295" s="110"/>
    </row>
    <row r="296" spans="8:8">
      <c r="H296" s="110"/>
    </row>
    <row r="297" spans="8:8">
      <c r="H297" s="110"/>
    </row>
    <row r="298" spans="8:8">
      <c r="H298" s="110"/>
    </row>
    <row r="299" spans="8:8">
      <c r="H299" s="110"/>
    </row>
    <row r="300" spans="8:8">
      <c r="H300" s="110"/>
    </row>
    <row r="301" spans="8:8">
      <c r="H301" s="110"/>
    </row>
    <row r="302" spans="8:8">
      <c r="H302" s="110"/>
    </row>
    <row r="303" spans="8:8">
      <c r="H303" s="110"/>
    </row>
    <row r="304" spans="8:8">
      <c r="H304" s="110"/>
    </row>
    <row r="305" spans="8:8">
      <c r="H305" s="110"/>
    </row>
    <row r="306" spans="8:8">
      <c r="H306" s="110"/>
    </row>
    <row r="307" spans="8:8">
      <c r="H307" s="110"/>
    </row>
    <row r="308" spans="8:8">
      <c r="H308" s="110"/>
    </row>
    <row r="309" spans="8:8">
      <c r="H309" s="110"/>
    </row>
    <row r="310" spans="8:8">
      <c r="H310" s="110"/>
    </row>
    <row r="311" spans="8:8">
      <c r="H311" s="110"/>
    </row>
    <row r="312" spans="8:8">
      <c r="H312" s="110"/>
    </row>
    <row r="313" spans="8:8">
      <c r="H313" s="110"/>
    </row>
    <row r="314" spans="8:8">
      <c r="H314" s="110"/>
    </row>
    <row r="315" spans="8:8">
      <c r="H315" s="110"/>
    </row>
    <row r="316" spans="8:8">
      <c r="H316" s="110"/>
    </row>
    <row r="317" spans="8:8">
      <c r="H317" s="110"/>
    </row>
    <row r="318" spans="8:8">
      <c r="H318" s="110"/>
    </row>
    <row r="319" spans="8:8">
      <c r="H319" s="110"/>
    </row>
    <row r="320" spans="8:8">
      <c r="H320" s="110"/>
    </row>
    <row r="321" spans="8:8">
      <c r="H321" s="110"/>
    </row>
    <row r="322" spans="8:8">
      <c r="H322" s="110"/>
    </row>
    <row r="323" spans="8:8">
      <c r="H323" s="110"/>
    </row>
    <row r="324" spans="8:8">
      <c r="H324" s="110"/>
    </row>
    <row r="325" spans="8:8">
      <c r="H325" s="110"/>
    </row>
    <row r="326" spans="8:8">
      <c r="H326" s="110"/>
    </row>
    <row r="327" spans="8:8">
      <c r="H327" s="110"/>
    </row>
    <row r="328" spans="8:8">
      <c r="H328" s="110"/>
    </row>
    <row r="329" spans="8:8">
      <c r="H329" s="110"/>
    </row>
    <row r="330" spans="8:8">
      <c r="H330" s="110"/>
    </row>
    <row r="331" spans="8:8">
      <c r="H331" s="110"/>
    </row>
    <row r="332" spans="8:8">
      <c r="H332" s="110"/>
    </row>
    <row r="333" spans="8:8">
      <c r="H333" s="110"/>
    </row>
    <row r="334" spans="8:8">
      <c r="H334" s="110"/>
    </row>
    <row r="335" spans="8:8">
      <c r="H335" s="110"/>
    </row>
    <row r="336" spans="8:8">
      <c r="H336" s="110"/>
    </row>
    <row r="337" spans="8:8">
      <c r="H337" s="110"/>
    </row>
    <row r="338" spans="8:8">
      <c r="H338" s="110"/>
    </row>
    <row r="339" spans="8:8">
      <c r="H339" s="110"/>
    </row>
    <row r="340" spans="8:8">
      <c r="H340" s="110"/>
    </row>
    <row r="341" spans="8:8">
      <c r="H341" s="110"/>
    </row>
    <row r="342" spans="8:8">
      <c r="H342" s="110"/>
    </row>
    <row r="343" spans="8:8">
      <c r="H343" s="110"/>
    </row>
    <row r="344" spans="8:8">
      <c r="H344" s="110"/>
    </row>
    <row r="345" spans="8:8">
      <c r="H345" s="110"/>
    </row>
    <row r="346" spans="8:8">
      <c r="H346" s="110"/>
    </row>
    <row r="347" spans="8:8">
      <c r="H347" s="110"/>
    </row>
    <row r="348" spans="8:8">
      <c r="H348" s="110"/>
    </row>
    <row r="349" spans="8:8">
      <c r="H349" s="110"/>
    </row>
    <row r="350" spans="8:8">
      <c r="H350" s="110"/>
    </row>
    <row r="351" spans="8:8">
      <c r="H351" s="110"/>
    </row>
    <row r="352" spans="8:8">
      <c r="H352" s="110"/>
    </row>
    <row r="353" spans="8:8">
      <c r="H353" s="110"/>
    </row>
    <row r="354" spans="8:8">
      <c r="H354" s="110"/>
    </row>
    <row r="355" spans="8:8">
      <c r="H355" s="110"/>
    </row>
    <row r="356" spans="8:8">
      <c r="H356" s="110"/>
    </row>
    <row r="357" spans="8:8">
      <c r="H357" s="110"/>
    </row>
    <row r="358" spans="8:8">
      <c r="H358" s="110"/>
    </row>
    <row r="359" spans="8:8">
      <c r="H359" s="110"/>
    </row>
    <row r="360" spans="8:8">
      <c r="H360" s="110"/>
    </row>
    <row r="361" spans="8:8">
      <c r="H361" s="110"/>
    </row>
    <row r="362" spans="8:8">
      <c r="H362" s="110"/>
    </row>
    <row r="363" spans="8:8">
      <c r="H363" s="110"/>
    </row>
    <row r="364" spans="8:8">
      <c r="H364" s="110"/>
    </row>
    <row r="365" spans="8:8">
      <c r="H365" s="110"/>
    </row>
    <row r="366" spans="8:8">
      <c r="H366" s="110"/>
    </row>
    <row r="367" spans="8:8">
      <c r="H367" s="110"/>
    </row>
    <row r="368" spans="8:8">
      <c r="H368" s="110"/>
    </row>
    <row r="369" spans="8:8">
      <c r="H369" s="110"/>
    </row>
    <row r="370" spans="8:8">
      <c r="H370" s="110"/>
    </row>
    <row r="371" spans="8:8">
      <c r="H371" s="110"/>
    </row>
    <row r="372" spans="8:8">
      <c r="H372" s="110"/>
    </row>
    <row r="373" spans="8:8">
      <c r="H373" s="110"/>
    </row>
    <row r="374" spans="8:8">
      <c r="H374" s="110"/>
    </row>
    <row r="375" spans="8:8">
      <c r="H375" s="110"/>
    </row>
    <row r="376" spans="8:8">
      <c r="H376" s="110"/>
    </row>
    <row r="377" spans="8:8">
      <c r="H377" s="110"/>
    </row>
    <row r="378" spans="8:8">
      <c r="H378" s="110"/>
    </row>
    <row r="379" spans="8:8">
      <c r="H379" s="110"/>
    </row>
    <row r="380" spans="8:8">
      <c r="H380" s="110"/>
    </row>
    <row r="381" spans="8:8">
      <c r="H381" s="110"/>
    </row>
    <row r="382" spans="8:8">
      <c r="H382" s="110"/>
    </row>
    <row r="383" spans="8:8">
      <c r="H383" s="110"/>
    </row>
    <row r="384" spans="8:8">
      <c r="H384" s="110"/>
    </row>
    <row r="385" spans="8:8">
      <c r="H385" s="110"/>
    </row>
    <row r="386" spans="8:8">
      <c r="H386" s="110"/>
    </row>
    <row r="387" spans="8:8">
      <c r="H387" s="110"/>
    </row>
    <row r="388" spans="8:8">
      <c r="H388" s="110"/>
    </row>
    <row r="389" spans="8:8">
      <c r="H389" s="110"/>
    </row>
    <row r="390" spans="8:8">
      <c r="H390" s="110"/>
    </row>
    <row r="391" spans="8:8">
      <c r="H391" s="110"/>
    </row>
    <row r="392" spans="8:8">
      <c r="H392" s="110"/>
    </row>
    <row r="393" spans="8:8">
      <c r="H393" s="110"/>
    </row>
    <row r="394" spans="8:8">
      <c r="H394" s="110"/>
    </row>
    <row r="395" spans="8:8">
      <c r="H395" s="110"/>
    </row>
    <row r="396" spans="8:8">
      <c r="H396" s="110"/>
    </row>
    <row r="397" spans="8:8">
      <c r="H397" s="110"/>
    </row>
    <row r="398" spans="8:8">
      <c r="H398" s="110"/>
    </row>
    <row r="399" spans="8:8">
      <c r="H399" s="110"/>
    </row>
    <row r="400" spans="8:8">
      <c r="H400" s="110"/>
    </row>
    <row r="401" spans="8:8">
      <c r="H401" s="110"/>
    </row>
    <row r="402" spans="8:8">
      <c r="H402" s="110"/>
    </row>
    <row r="403" spans="8:8">
      <c r="H403" s="110"/>
    </row>
    <row r="404" spans="8:8">
      <c r="H404" s="110"/>
    </row>
    <row r="405" spans="8:8">
      <c r="H405" s="110"/>
    </row>
    <row r="406" spans="8:8">
      <c r="H406" s="110"/>
    </row>
    <row r="407" spans="8:8">
      <c r="H407" s="110"/>
    </row>
    <row r="408" spans="8:8">
      <c r="H408" s="110"/>
    </row>
    <row r="409" spans="8:8">
      <c r="H409" s="110"/>
    </row>
    <row r="410" spans="8:8">
      <c r="H410" s="110"/>
    </row>
    <row r="411" spans="8:8">
      <c r="H411" s="110"/>
    </row>
    <row r="412" spans="8:8">
      <c r="H412" s="110"/>
    </row>
    <row r="413" spans="8:8">
      <c r="H413" s="110"/>
    </row>
    <row r="414" spans="8:8">
      <c r="H414" s="110"/>
    </row>
    <row r="415" spans="8:8">
      <c r="H415" s="110"/>
    </row>
    <row r="416" spans="8:8">
      <c r="H416" s="110"/>
    </row>
    <row r="417" spans="8:8">
      <c r="H417" s="110"/>
    </row>
    <row r="418" spans="8:8">
      <c r="H418" s="110"/>
    </row>
    <row r="419" spans="8:8">
      <c r="H419" s="110"/>
    </row>
    <row r="420" spans="8:8">
      <c r="H420" s="110"/>
    </row>
    <row r="421" spans="8:8">
      <c r="H421" s="110"/>
    </row>
    <row r="422" spans="8:8">
      <c r="H422" s="110"/>
    </row>
    <row r="423" spans="8:8">
      <c r="H423" s="110"/>
    </row>
    <row r="424" spans="8:8">
      <c r="H424" s="110"/>
    </row>
    <row r="425" spans="8:8">
      <c r="H425" s="110"/>
    </row>
    <row r="426" spans="8:8">
      <c r="H426" s="110"/>
    </row>
    <row r="427" spans="8:8">
      <c r="H427" s="110"/>
    </row>
    <row r="428" spans="8:8">
      <c r="H428" s="110"/>
    </row>
    <row r="429" spans="8:8">
      <c r="H429" s="110"/>
    </row>
    <row r="430" spans="8:8">
      <c r="H430" s="110"/>
    </row>
    <row r="431" spans="8:8">
      <c r="H431" s="110"/>
    </row>
    <row r="432" spans="8:8">
      <c r="H432" s="110"/>
    </row>
    <row r="433" spans="8:8">
      <c r="H433" s="110"/>
    </row>
    <row r="434" spans="8:8">
      <c r="H434" s="110"/>
    </row>
    <row r="435" spans="8:8">
      <c r="H435" s="110"/>
    </row>
    <row r="436" spans="8:8">
      <c r="H436" s="110"/>
    </row>
    <row r="437" spans="8:8">
      <c r="H437" s="110"/>
    </row>
    <row r="438" spans="8:8">
      <c r="H438" s="110"/>
    </row>
    <row r="439" spans="8:8">
      <c r="H439" s="110"/>
    </row>
    <row r="440" spans="8:8">
      <c r="H440" s="110"/>
    </row>
    <row r="441" spans="8:8">
      <c r="H441" s="110"/>
    </row>
    <row r="442" spans="8:8">
      <c r="H442" s="110"/>
    </row>
    <row r="443" spans="8:8">
      <c r="H443" s="110"/>
    </row>
    <row r="444" spans="8:8">
      <c r="H444" s="110"/>
    </row>
    <row r="445" spans="8:8">
      <c r="H445" s="110"/>
    </row>
    <row r="446" spans="8:8">
      <c r="H446" s="110"/>
    </row>
    <row r="447" spans="8:8">
      <c r="H447" s="110"/>
    </row>
    <row r="448" spans="8:8">
      <c r="H448" s="110"/>
    </row>
    <row r="449" spans="8:8">
      <c r="H449" s="110"/>
    </row>
    <row r="450" spans="8:8">
      <c r="H450" s="110"/>
    </row>
    <row r="451" spans="8:8">
      <c r="H451" s="110"/>
    </row>
    <row r="452" spans="8:8">
      <c r="H452" s="110"/>
    </row>
    <row r="453" spans="8:8">
      <c r="H453" s="110"/>
    </row>
    <row r="454" spans="8:8">
      <c r="H454" s="110"/>
    </row>
    <row r="455" spans="8:8">
      <c r="H455" s="110"/>
    </row>
    <row r="456" spans="8:8">
      <c r="H456" s="110"/>
    </row>
    <row r="457" spans="8:8">
      <c r="H457" s="110"/>
    </row>
    <row r="458" spans="8:8">
      <c r="H458" s="110"/>
    </row>
    <row r="459" spans="8:8">
      <c r="H459" s="110"/>
    </row>
    <row r="460" spans="8:8">
      <c r="H460" s="110"/>
    </row>
    <row r="461" spans="8:8">
      <c r="H461" s="110"/>
    </row>
    <row r="462" spans="8:8">
      <c r="H462" s="110"/>
    </row>
    <row r="463" spans="8:8">
      <c r="H463" s="110"/>
    </row>
    <row r="464" spans="8:8">
      <c r="H464" s="110"/>
    </row>
    <row r="465" spans="8:8">
      <c r="H465" s="110"/>
    </row>
    <row r="466" spans="8:8">
      <c r="H466" s="110"/>
    </row>
    <row r="467" spans="8:8">
      <c r="H467" s="110"/>
    </row>
    <row r="468" spans="8:8">
      <c r="H468" s="110"/>
    </row>
    <row r="469" spans="8:8">
      <c r="H469" s="110"/>
    </row>
    <row r="470" spans="8:8">
      <c r="H470" s="110"/>
    </row>
    <row r="471" spans="8:8">
      <c r="H471" s="110"/>
    </row>
    <row r="472" spans="8:8">
      <c r="H472" s="110"/>
    </row>
    <row r="473" spans="8:8">
      <c r="H473" s="110"/>
    </row>
    <row r="474" spans="8:8">
      <c r="H474" s="110"/>
    </row>
    <row r="475" spans="8:8">
      <c r="H475" s="110"/>
    </row>
    <row r="476" spans="8:8">
      <c r="H476" s="110"/>
    </row>
    <row r="477" spans="8:8">
      <c r="H477" s="110"/>
    </row>
    <row r="478" spans="8:8">
      <c r="H478" s="110"/>
    </row>
    <row r="479" spans="8:8">
      <c r="H479" s="110"/>
    </row>
    <row r="480" spans="8:8">
      <c r="H480" s="110"/>
    </row>
    <row r="481" spans="8:8">
      <c r="H481" s="110"/>
    </row>
    <row r="482" spans="8:8">
      <c r="H482" s="110"/>
    </row>
    <row r="483" spans="8:8">
      <c r="H483" s="110"/>
    </row>
    <row r="484" spans="8:8">
      <c r="H484" s="110"/>
    </row>
    <row r="485" spans="8:8">
      <c r="H485" s="110"/>
    </row>
    <row r="486" spans="8:8">
      <c r="H486" s="110"/>
    </row>
    <row r="487" spans="8:8">
      <c r="H487" s="110"/>
    </row>
    <row r="488" spans="8:8">
      <c r="H488" s="110"/>
    </row>
    <row r="489" spans="8:8">
      <c r="H489" s="110"/>
    </row>
    <row r="490" spans="8:8">
      <c r="H490" s="110"/>
    </row>
    <row r="491" spans="8:8">
      <c r="H491" s="110"/>
    </row>
    <row r="492" spans="8:8">
      <c r="H492" s="110"/>
    </row>
    <row r="493" spans="8:8">
      <c r="H493" s="110"/>
    </row>
    <row r="494" spans="8:8">
      <c r="H494" s="110"/>
    </row>
    <row r="495" spans="8:8">
      <c r="H495" s="110"/>
    </row>
    <row r="496" spans="8:8">
      <c r="H496" s="110"/>
    </row>
    <row r="497" spans="8:8">
      <c r="H497" s="110"/>
    </row>
    <row r="498" spans="8:8">
      <c r="H498" s="110"/>
    </row>
    <row r="499" spans="8:8">
      <c r="H499" s="110"/>
    </row>
    <row r="500" spans="8:8">
      <c r="H500" s="110"/>
    </row>
    <row r="501" spans="8:8">
      <c r="H501" s="110"/>
    </row>
    <row r="502" spans="8:8">
      <c r="H502" s="110"/>
    </row>
    <row r="503" spans="8:8">
      <c r="H503" s="110"/>
    </row>
    <row r="504" spans="8:8">
      <c r="H504" s="110"/>
    </row>
    <row r="505" spans="8:8">
      <c r="H505" s="110"/>
    </row>
    <row r="506" spans="8:8">
      <c r="H506" s="110"/>
    </row>
    <row r="507" spans="8:8">
      <c r="H507" s="110"/>
    </row>
    <row r="508" spans="8:8">
      <c r="H508" s="110"/>
    </row>
    <row r="509" spans="8:8">
      <c r="H509" s="110"/>
    </row>
    <row r="510" spans="8:8">
      <c r="H510" s="110"/>
    </row>
    <row r="511" spans="8:8">
      <c r="H511" s="110"/>
    </row>
    <row r="512" spans="8:8">
      <c r="H512" s="110"/>
    </row>
    <row r="513" spans="8:8">
      <c r="H513" s="110"/>
    </row>
    <row r="514" spans="8:8">
      <c r="H514" s="110"/>
    </row>
    <row r="515" spans="8:8">
      <c r="H515" s="110"/>
    </row>
    <row r="516" spans="8:8">
      <c r="H516" s="110"/>
    </row>
    <row r="517" spans="8:8">
      <c r="H517" s="110"/>
    </row>
    <row r="518" spans="8:8">
      <c r="H518" s="110"/>
    </row>
    <row r="519" spans="8:8">
      <c r="H519" s="110"/>
    </row>
    <row r="520" spans="8:8">
      <c r="H520" s="110"/>
    </row>
    <row r="521" spans="8:8">
      <c r="H521" s="110"/>
    </row>
    <row r="522" spans="8:8">
      <c r="H522" s="110"/>
    </row>
    <row r="523" spans="8:8">
      <c r="H523" s="110"/>
    </row>
    <row r="524" spans="8:8">
      <c r="H524" s="110"/>
    </row>
    <row r="525" spans="8:8">
      <c r="H525" s="110"/>
    </row>
    <row r="526" spans="8:8">
      <c r="H526" s="110"/>
    </row>
    <row r="527" spans="8:8">
      <c r="H527" s="110"/>
    </row>
    <row r="528" spans="8:8">
      <c r="H528" s="110"/>
    </row>
    <row r="529" spans="8:8">
      <c r="H529" s="110"/>
    </row>
    <row r="530" spans="8:8">
      <c r="H530" s="110"/>
    </row>
    <row r="531" spans="8:8">
      <c r="H531" s="110"/>
    </row>
    <row r="532" spans="8:8">
      <c r="H532" s="110"/>
    </row>
    <row r="533" spans="8:8">
      <c r="H533" s="110"/>
    </row>
    <row r="534" spans="8:8">
      <c r="H534" s="110"/>
    </row>
    <row r="535" spans="8:8">
      <c r="H535" s="110"/>
    </row>
    <row r="536" spans="8:8">
      <c r="H536" s="110"/>
    </row>
    <row r="537" spans="8:8">
      <c r="H537" s="110"/>
    </row>
    <row r="538" spans="8:8">
      <c r="H538" s="110"/>
    </row>
    <row r="539" spans="8:8">
      <c r="H539" s="110"/>
    </row>
    <row r="540" spans="8:8">
      <c r="H540" s="110"/>
    </row>
    <row r="541" spans="8:8">
      <c r="H541" s="110"/>
    </row>
    <row r="542" spans="8:8">
      <c r="H542" s="110"/>
    </row>
    <row r="543" spans="8:8">
      <c r="H543" s="110"/>
    </row>
    <row r="544" spans="8:8">
      <c r="H544" s="110"/>
    </row>
    <row r="545" spans="8:8">
      <c r="H545" s="110"/>
    </row>
    <row r="546" spans="8:8">
      <c r="H546" s="110"/>
    </row>
    <row r="547" spans="8:8">
      <c r="H547" s="110"/>
    </row>
    <row r="548" spans="8:8">
      <c r="H548" s="110"/>
    </row>
    <row r="549" spans="8:8">
      <c r="H549" s="110"/>
    </row>
    <row r="550" spans="8:8">
      <c r="H550" s="110"/>
    </row>
    <row r="551" spans="8:8">
      <c r="H551" s="110"/>
    </row>
    <row r="552" spans="8:8">
      <c r="H552" s="110"/>
    </row>
    <row r="553" spans="8:8">
      <c r="H553" s="110"/>
    </row>
    <row r="554" spans="8:8">
      <c r="H554" s="110"/>
    </row>
    <row r="555" spans="8:8">
      <c r="H555" s="110"/>
    </row>
    <row r="556" spans="8:8">
      <c r="H556" s="110"/>
    </row>
    <row r="557" spans="8:8">
      <c r="H557" s="110"/>
    </row>
    <row r="558" spans="8:8">
      <c r="H558" s="110"/>
    </row>
    <row r="559" spans="8:8">
      <c r="H559" s="110"/>
    </row>
    <row r="560" spans="8:8">
      <c r="H560" s="110"/>
    </row>
    <row r="561" spans="8:8">
      <c r="H561" s="110"/>
    </row>
    <row r="562" spans="8:8">
      <c r="H562" s="110"/>
    </row>
    <row r="563" spans="8:8">
      <c r="H563" s="110"/>
    </row>
    <row r="564" spans="8:8">
      <c r="H564" s="110"/>
    </row>
    <row r="565" spans="8:8">
      <c r="H565" s="110"/>
    </row>
    <row r="566" spans="8:8">
      <c r="H566" s="110"/>
    </row>
    <row r="567" spans="8:8">
      <c r="H567" s="110"/>
    </row>
    <row r="568" spans="8:8">
      <c r="H568" s="110"/>
    </row>
    <row r="569" spans="8:8">
      <c r="H569" s="110"/>
    </row>
    <row r="570" spans="8:8">
      <c r="H570" s="110"/>
    </row>
    <row r="571" spans="8:8">
      <c r="H571" s="110"/>
    </row>
    <row r="572" spans="8:8">
      <c r="H572" s="110"/>
    </row>
    <row r="573" spans="8:8">
      <c r="H573" s="110"/>
    </row>
    <row r="574" spans="8:8">
      <c r="H574" s="110"/>
    </row>
    <row r="575" spans="8:8">
      <c r="H575" s="110"/>
    </row>
    <row r="576" spans="8:8">
      <c r="H576" s="110"/>
    </row>
    <row r="577" spans="8:8">
      <c r="H577" s="110"/>
    </row>
    <row r="578" spans="8:8">
      <c r="H578" s="110"/>
    </row>
    <row r="579" spans="8:8">
      <c r="H579" s="110"/>
    </row>
    <row r="580" spans="8:8">
      <c r="H580" s="110"/>
    </row>
    <row r="581" spans="8:8">
      <c r="H581" s="110"/>
    </row>
    <row r="582" spans="8:8">
      <c r="H582" s="110"/>
    </row>
    <row r="583" spans="8:8">
      <c r="H583" s="110"/>
    </row>
    <row r="584" spans="8:8">
      <c r="H584" s="110"/>
    </row>
    <row r="585" spans="8:8">
      <c r="H585" s="110"/>
    </row>
    <row r="586" spans="8:8">
      <c r="H586" s="110"/>
    </row>
    <row r="587" spans="8:8">
      <c r="H587" s="110"/>
    </row>
    <row r="588" spans="8:8">
      <c r="H588" s="110"/>
    </row>
    <row r="589" spans="8:8">
      <c r="H589" s="110"/>
    </row>
    <row r="590" spans="8:8">
      <c r="H590" s="110"/>
    </row>
    <row r="591" spans="8:8">
      <c r="H591" s="110"/>
    </row>
    <row r="592" spans="8:8">
      <c r="H592" s="110"/>
    </row>
    <row r="593" spans="8:8">
      <c r="H593" s="110"/>
    </row>
    <row r="594" spans="8:8">
      <c r="H594" s="110"/>
    </row>
    <row r="595" spans="8:8">
      <c r="H595" s="110"/>
    </row>
    <row r="596" spans="8:8">
      <c r="H596" s="110"/>
    </row>
    <row r="597" spans="8:8">
      <c r="H597" s="110"/>
    </row>
    <row r="598" spans="8:8">
      <c r="H598" s="110"/>
    </row>
    <row r="599" spans="8:8">
      <c r="H599" s="110"/>
    </row>
    <row r="600" spans="8:8">
      <c r="H600" s="110"/>
    </row>
    <row r="601" spans="8:8">
      <c r="H601" s="110"/>
    </row>
    <row r="602" spans="8:8">
      <c r="H602" s="110"/>
    </row>
    <row r="603" spans="8:8">
      <c r="H603" s="110"/>
    </row>
    <row r="604" spans="8:8">
      <c r="H604" s="110"/>
    </row>
    <row r="605" spans="8:8">
      <c r="H605" s="110"/>
    </row>
    <row r="606" spans="8:8">
      <c r="H606" s="110"/>
    </row>
    <row r="607" spans="8:8">
      <c r="H607" s="110"/>
    </row>
    <row r="608" spans="8:8">
      <c r="H608" s="110"/>
    </row>
    <row r="609" spans="8:8">
      <c r="H609" s="110"/>
    </row>
    <row r="610" spans="8:8">
      <c r="H610" s="110"/>
    </row>
    <row r="611" spans="8:8">
      <c r="H611" s="110"/>
    </row>
    <row r="612" spans="8:8">
      <c r="H612" s="110"/>
    </row>
    <row r="613" spans="8:8">
      <c r="H613" s="110"/>
    </row>
    <row r="614" spans="8:8">
      <c r="H614" s="110"/>
    </row>
    <row r="615" spans="8:8">
      <c r="H615" s="110"/>
    </row>
    <row r="616" spans="8:8">
      <c r="H616" s="110"/>
    </row>
    <row r="617" spans="8:8">
      <c r="H617" s="110"/>
    </row>
    <row r="618" spans="8:8">
      <c r="H618" s="110"/>
    </row>
    <row r="619" spans="8:8">
      <c r="H619" s="110"/>
    </row>
    <row r="620" spans="8:8">
      <c r="H620" s="110"/>
    </row>
    <row r="621" spans="8:8">
      <c r="H621" s="110"/>
    </row>
    <row r="622" spans="8:8">
      <c r="H622" s="110"/>
    </row>
    <row r="623" spans="8:8">
      <c r="H623" s="110"/>
    </row>
    <row r="624" spans="8:8">
      <c r="H624" s="110"/>
    </row>
    <row r="625" spans="8:8">
      <c r="H625" s="110"/>
    </row>
    <row r="626" spans="8:8">
      <c r="H626" s="110"/>
    </row>
    <row r="627" spans="8:8">
      <c r="H627" s="110"/>
    </row>
    <row r="628" spans="8:8">
      <c r="H628" s="110"/>
    </row>
    <row r="629" spans="8:8">
      <c r="H629" s="110"/>
    </row>
    <row r="630" spans="8:8">
      <c r="H630" s="110"/>
    </row>
    <row r="631" spans="8:8">
      <c r="H631" s="110"/>
    </row>
    <row r="632" spans="8:8">
      <c r="H632" s="110"/>
    </row>
    <row r="633" spans="8:8">
      <c r="H633" s="110"/>
    </row>
    <row r="634" spans="8:8">
      <c r="H634" s="110"/>
    </row>
    <row r="635" spans="8:8">
      <c r="H635" s="110"/>
    </row>
    <row r="636" spans="8:8">
      <c r="H636" s="110"/>
    </row>
    <row r="637" spans="8:8">
      <c r="H637" s="110"/>
    </row>
    <row r="638" spans="8:8">
      <c r="H638" s="110"/>
    </row>
    <row r="639" spans="8:8">
      <c r="H639" s="110"/>
    </row>
    <row r="640" spans="8:8">
      <c r="H640" s="110"/>
    </row>
    <row r="641" spans="8:8">
      <c r="H641" s="110"/>
    </row>
    <row r="642" spans="8:8">
      <c r="H642" s="110"/>
    </row>
    <row r="643" spans="8:8">
      <c r="H643" s="110"/>
    </row>
    <row r="644" spans="8:8">
      <c r="H644" s="110"/>
    </row>
    <row r="645" spans="8:8">
      <c r="H645" s="110"/>
    </row>
    <row r="646" spans="8:8">
      <c r="H646" s="110"/>
    </row>
    <row r="647" spans="8:8">
      <c r="H647" s="110"/>
    </row>
    <row r="648" spans="8:8">
      <c r="H648" s="110"/>
    </row>
    <row r="649" spans="8:8">
      <c r="H649" s="110"/>
    </row>
    <row r="650" spans="8:8">
      <c r="H650" s="110"/>
    </row>
    <row r="651" spans="8:8">
      <c r="H651" s="110"/>
    </row>
    <row r="652" spans="8:8">
      <c r="H652" s="110"/>
    </row>
    <row r="653" spans="8:8">
      <c r="H653" s="110"/>
    </row>
    <row r="654" spans="8:8">
      <c r="H654" s="110"/>
    </row>
    <row r="655" spans="8:8">
      <c r="H655" s="110"/>
    </row>
    <row r="656" spans="8:8">
      <c r="H656" s="110"/>
    </row>
    <row r="657" spans="8:8">
      <c r="H657" s="110"/>
    </row>
    <row r="658" spans="8:8">
      <c r="H658" s="110"/>
    </row>
    <row r="659" spans="8:8">
      <c r="H659" s="110"/>
    </row>
    <row r="660" spans="8:8">
      <c r="H660" s="110"/>
    </row>
    <row r="661" spans="8:8">
      <c r="H661" s="110"/>
    </row>
    <row r="662" spans="8:8">
      <c r="H662" s="110"/>
    </row>
    <row r="663" spans="8:8">
      <c r="H663" s="110"/>
    </row>
    <row r="664" spans="8:8">
      <c r="H664" s="110"/>
    </row>
    <row r="665" spans="8:8">
      <c r="H665" s="110"/>
    </row>
    <row r="666" spans="8:8">
      <c r="H666" s="110"/>
    </row>
    <row r="667" spans="8:8">
      <c r="H667" s="110"/>
    </row>
    <row r="668" spans="8:8">
      <c r="H668" s="110"/>
    </row>
    <row r="669" spans="8:8">
      <c r="H669" s="110"/>
    </row>
    <row r="670" spans="8:8">
      <c r="H670" s="110"/>
    </row>
    <row r="671" spans="8:8">
      <c r="H671" s="110"/>
    </row>
    <row r="672" spans="8:8">
      <c r="H672" s="110"/>
    </row>
    <row r="673" spans="8:8">
      <c r="H673" s="110"/>
    </row>
    <row r="674" spans="8:8">
      <c r="H674" s="110"/>
    </row>
    <row r="675" spans="8:8">
      <c r="H675" s="110"/>
    </row>
    <row r="676" spans="8:8">
      <c r="H676" s="110"/>
    </row>
    <row r="677" spans="8:8">
      <c r="H677" s="110"/>
    </row>
    <row r="678" spans="8:8">
      <c r="H678" s="110"/>
    </row>
    <row r="679" spans="8:8">
      <c r="H679" s="110"/>
    </row>
    <row r="680" spans="8:8">
      <c r="H680" s="110"/>
    </row>
    <row r="681" spans="8:8">
      <c r="H681" s="110"/>
    </row>
    <row r="682" spans="8:8">
      <c r="H682" s="110"/>
    </row>
    <row r="683" spans="8:8">
      <c r="H683" s="110"/>
    </row>
    <row r="684" spans="8:8">
      <c r="H684" s="110"/>
    </row>
    <row r="685" spans="8:8">
      <c r="H685" s="110"/>
    </row>
    <row r="686" spans="8:8">
      <c r="H686" s="110"/>
    </row>
    <row r="687" spans="8:8">
      <c r="H687" s="110"/>
    </row>
    <row r="688" spans="8:8">
      <c r="H688" s="110"/>
    </row>
    <row r="689" spans="8:8">
      <c r="H689" s="110"/>
    </row>
    <row r="690" spans="8:8">
      <c r="H690" s="110"/>
    </row>
    <row r="691" spans="8:8">
      <c r="H691" s="110"/>
    </row>
    <row r="692" spans="8:8">
      <c r="H692" s="110"/>
    </row>
    <row r="693" spans="8:8">
      <c r="H693" s="110"/>
    </row>
    <row r="694" spans="8:8">
      <c r="H694" s="110"/>
    </row>
    <row r="695" spans="8:8">
      <c r="H695" s="110"/>
    </row>
    <row r="696" spans="8:8">
      <c r="H696" s="110"/>
    </row>
    <row r="697" spans="8:8">
      <c r="H697" s="110"/>
    </row>
    <row r="698" spans="8:8">
      <c r="H698" s="110"/>
    </row>
    <row r="699" spans="8:8">
      <c r="H699" s="110"/>
    </row>
    <row r="700" spans="8:8">
      <c r="H700" s="110"/>
    </row>
    <row r="701" spans="8:8">
      <c r="H701" s="110"/>
    </row>
    <row r="702" spans="8:8">
      <c r="H702" s="110"/>
    </row>
    <row r="703" spans="8:8">
      <c r="H703" s="110"/>
    </row>
    <row r="704" spans="8:8">
      <c r="H704" s="110"/>
    </row>
    <row r="705" spans="8:8">
      <c r="H705" s="110"/>
    </row>
    <row r="706" spans="8:8">
      <c r="H706" s="110"/>
    </row>
    <row r="707" spans="8:8">
      <c r="H707" s="110"/>
    </row>
    <row r="708" spans="8:8">
      <c r="H708" s="110"/>
    </row>
    <row r="709" spans="8:8">
      <c r="H709" s="110"/>
    </row>
    <row r="710" spans="8:8">
      <c r="H710" s="110"/>
    </row>
    <row r="711" spans="8:8">
      <c r="H711" s="110"/>
    </row>
    <row r="712" spans="8:8">
      <c r="H712" s="110"/>
    </row>
    <row r="713" spans="8:8">
      <c r="H713" s="110"/>
    </row>
    <row r="714" spans="8:8">
      <c r="H714" s="110"/>
    </row>
    <row r="715" spans="8:8">
      <c r="H715" s="110"/>
    </row>
    <row r="716" spans="8:8">
      <c r="H716" s="110"/>
    </row>
    <row r="717" spans="8:8">
      <c r="H717" s="110"/>
    </row>
    <row r="718" spans="8:8">
      <c r="H718" s="110"/>
    </row>
    <row r="719" spans="8:8">
      <c r="H719" s="110"/>
    </row>
    <row r="720" spans="8:8">
      <c r="H720" s="110"/>
    </row>
    <row r="721" spans="8:8">
      <c r="H721" s="110"/>
    </row>
    <row r="722" spans="8:8">
      <c r="H722" s="110"/>
    </row>
    <row r="723" spans="8:8">
      <c r="H723" s="110"/>
    </row>
    <row r="724" spans="8:8">
      <c r="H724" s="110"/>
    </row>
    <row r="725" spans="8:8">
      <c r="H725" s="110"/>
    </row>
    <row r="726" spans="8:8">
      <c r="H726" s="110"/>
    </row>
    <row r="727" spans="8:8">
      <c r="H727" s="110"/>
    </row>
    <row r="728" spans="8:8">
      <c r="H728" s="110"/>
    </row>
    <row r="729" spans="8:8">
      <c r="H729" s="110"/>
    </row>
    <row r="730" spans="8:8">
      <c r="H730" s="110"/>
    </row>
    <row r="731" spans="8:8">
      <c r="H731" s="110"/>
    </row>
    <row r="732" spans="8:8">
      <c r="H732" s="110"/>
    </row>
    <row r="733" spans="8:8">
      <c r="H733" s="110"/>
    </row>
    <row r="734" spans="8:8">
      <c r="H734" s="110"/>
    </row>
    <row r="735" spans="8:8">
      <c r="H735" s="110"/>
    </row>
    <row r="736" spans="8:8">
      <c r="H736" s="110"/>
    </row>
    <row r="737" spans="8:8">
      <c r="H737" s="110"/>
    </row>
    <row r="738" spans="8:8">
      <c r="H738" s="110"/>
    </row>
    <row r="739" spans="8:8">
      <c r="H739" s="110"/>
    </row>
    <row r="740" spans="8:8">
      <c r="H740" s="110"/>
    </row>
    <row r="741" spans="8:8">
      <c r="H741" s="110"/>
    </row>
    <row r="742" spans="8:8">
      <c r="H742" s="110"/>
    </row>
    <row r="743" spans="8:8">
      <c r="H743" s="110"/>
    </row>
    <row r="744" spans="8:8">
      <c r="H744" s="110"/>
    </row>
    <row r="745" spans="8:8">
      <c r="H745" s="110"/>
    </row>
    <row r="746" spans="8:8">
      <c r="H746" s="110"/>
    </row>
    <row r="747" spans="8:8">
      <c r="H747" s="110"/>
    </row>
    <row r="748" spans="8:8">
      <c r="H748" s="110"/>
    </row>
    <row r="749" spans="8:8">
      <c r="H749" s="110"/>
    </row>
    <row r="750" spans="8:8">
      <c r="H750" s="110"/>
    </row>
    <row r="751" spans="8:8">
      <c r="H751" s="110"/>
    </row>
    <row r="752" spans="8:8">
      <c r="H752" s="110"/>
    </row>
    <row r="753" spans="8:8">
      <c r="H753" s="110"/>
    </row>
    <row r="754" spans="8:8">
      <c r="H754" s="110"/>
    </row>
    <row r="755" spans="8:8">
      <c r="H755" s="110"/>
    </row>
    <row r="756" spans="8:8">
      <c r="H756" s="110"/>
    </row>
    <row r="757" spans="8:8">
      <c r="H757" s="110"/>
    </row>
    <row r="758" spans="8:8">
      <c r="H758" s="110"/>
    </row>
    <row r="759" spans="8:8">
      <c r="H759" s="110"/>
    </row>
    <row r="760" spans="8:8">
      <c r="H760" s="110"/>
    </row>
    <row r="761" spans="8:8">
      <c r="H761" s="110"/>
    </row>
    <row r="762" spans="8:8">
      <c r="H762" s="110"/>
    </row>
    <row r="763" spans="8:8">
      <c r="H763" s="110"/>
    </row>
    <row r="764" spans="8:8">
      <c r="H764" s="110"/>
    </row>
    <row r="765" spans="8:8">
      <c r="H765" s="110"/>
    </row>
    <row r="766" spans="8:8">
      <c r="H766" s="110"/>
    </row>
    <row r="767" spans="8:8">
      <c r="H767" s="110"/>
    </row>
    <row r="768" spans="8:8">
      <c r="H768" s="110"/>
    </row>
    <row r="769" spans="8:8">
      <c r="H769" s="110"/>
    </row>
    <row r="770" spans="8:8">
      <c r="H770" s="110"/>
    </row>
    <row r="771" spans="8:8">
      <c r="H771" s="110"/>
    </row>
    <row r="772" spans="8:8">
      <c r="H772" s="110"/>
    </row>
    <row r="773" spans="8:8">
      <c r="H773" s="110"/>
    </row>
    <row r="774" spans="8:8">
      <c r="H774" s="110"/>
    </row>
    <row r="775" spans="8:8">
      <c r="H775" s="110"/>
    </row>
    <row r="776" spans="8:8">
      <c r="H776" s="110"/>
    </row>
    <row r="777" spans="8:8">
      <c r="H777" s="110"/>
    </row>
    <row r="778" spans="8:8">
      <c r="H778" s="110"/>
    </row>
    <row r="779" spans="8:8">
      <c r="H779" s="110"/>
    </row>
    <row r="780" spans="8:8">
      <c r="H780" s="110"/>
    </row>
    <row r="781" spans="8:8">
      <c r="H781" s="110"/>
    </row>
    <row r="782" spans="8:8">
      <c r="H782" s="110"/>
    </row>
    <row r="783" spans="8:8">
      <c r="H783" s="110"/>
    </row>
    <row r="784" spans="8:8">
      <c r="H784" s="110"/>
    </row>
    <row r="785" spans="8:8">
      <c r="H785" s="110"/>
    </row>
    <row r="786" spans="8:8">
      <c r="H786" s="110"/>
    </row>
    <row r="787" spans="8:8">
      <c r="H787" s="110"/>
    </row>
    <row r="788" spans="8:8">
      <c r="H788" s="110"/>
    </row>
    <row r="789" spans="8:8">
      <c r="H789" s="110"/>
    </row>
    <row r="790" spans="8:8">
      <c r="H790" s="110"/>
    </row>
    <row r="791" spans="8:8">
      <c r="H791" s="110"/>
    </row>
    <row r="792" spans="8:8">
      <c r="H792" s="110"/>
    </row>
    <row r="793" spans="8:8">
      <c r="H793" s="110"/>
    </row>
    <row r="794" spans="8:8">
      <c r="H794" s="110"/>
    </row>
    <row r="795" spans="8:8">
      <c r="H795" s="110"/>
    </row>
    <row r="796" spans="8:8">
      <c r="H796" s="110"/>
    </row>
    <row r="797" spans="8:8">
      <c r="H797" s="110"/>
    </row>
    <row r="798" spans="8:8">
      <c r="H798" s="110"/>
    </row>
    <row r="799" spans="8:8">
      <c r="H799" s="110"/>
    </row>
    <row r="800" spans="8:8">
      <c r="H800" s="110"/>
    </row>
    <row r="801" spans="8:8">
      <c r="H801" s="110"/>
    </row>
    <row r="802" spans="8:8">
      <c r="H802" s="110"/>
    </row>
    <row r="803" spans="8:8">
      <c r="H803" s="110"/>
    </row>
    <row r="804" spans="8:8">
      <c r="H804" s="110"/>
    </row>
    <row r="805" spans="8:8">
      <c r="H805" s="110"/>
    </row>
    <row r="806" spans="8:8">
      <c r="H806" s="110"/>
    </row>
    <row r="807" spans="8:8">
      <c r="H807" s="110"/>
    </row>
    <row r="808" spans="8:8">
      <c r="H808" s="110"/>
    </row>
    <row r="809" spans="8:8">
      <c r="H809" s="110"/>
    </row>
    <row r="810" spans="8:8">
      <c r="H810" s="110"/>
    </row>
    <row r="811" spans="8:8">
      <c r="H811" s="110"/>
    </row>
    <row r="812" spans="8:8">
      <c r="H812" s="110"/>
    </row>
    <row r="813" spans="8:8">
      <c r="H813" s="110"/>
    </row>
    <row r="814" spans="8:8">
      <c r="H814" s="110"/>
    </row>
    <row r="815" spans="8:8">
      <c r="H815" s="110"/>
    </row>
    <row r="816" spans="8:8">
      <c r="H816" s="110"/>
    </row>
    <row r="817" spans="8:8">
      <c r="H817" s="110"/>
    </row>
    <row r="818" spans="8:8">
      <c r="H818" s="110"/>
    </row>
    <row r="819" spans="8:8">
      <c r="H819" s="110"/>
    </row>
    <row r="820" spans="8:8">
      <c r="H820" s="110"/>
    </row>
    <row r="821" spans="8:8">
      <c r="H821" s="110"/>
    </row>
    <row r="822" spans="8:8">
      <c r="H822" s="110"/>
    </row>
    <row r="823" spans="8:8">
      <c r="H823" s="110"/>
    </row>
    <row r="824" spans="8:8">
      <c r="H824" s="110"/>
    </row>
    <row r="825" spans="8:8">
      <c r="H825" s="110"/>
    </row>
    <row r="826" spans="8:8">
      <c r="H826" s="110"/>
    </row>
    <row r="827" spans="8:8">
      <c r="H827" s="110"/>
    </row>
    <row r="828" spans="8:8">
      <c r="H828" s="110"/>
    </row>
    <row r="829" spans="8:8">
      <c r="H829" s="110"/>
    </row>
    <row r="830" spans="8:8">
      <c r="H830" s="110"/>
    </row>
    <row r="831" spans="8:8">
      <c r="H831" s="110"/>
    </row>
    <row r="832" spans="8:8">
      <c r="H832" s="110"/>
    </row>
    <row r="833" spans="8:8">
      <c r="H833" s="110"/>
    </row>
    <row r="834" spans="8:8">
      <c r="H834" s="110"/>
    </row>
    <row r="835" spans="8:8">
      <c r="H835" s="110"/>
    </row>
    <row r="836" spans="8:8">
      <c r="H836" s="110"/>
    </row>
    <row r="837" spans="8:8">
      <c r="H837" s="110"/>
    </row>
    <row r="838" spans="8:8">
      <c r="H838" s="110"/>
    </row>
    <row r="839" spans="8:8">
      <c r="H839" s="110"/>
    </row>
    <row r="840" spans="8:8">
      <c r="H840" s="110"/>
    </row>
    <row r="841" spans="8:8">
      <c r="H841" s="110"/>
    </row>
    <row r="842" spans="8:8">
      <c r="H842" s="110"/>
    </row>
    <row r="843" spans="8:8">
      <c r="H843" s="110"/>
    </row>
    <row r="844" spans="8:8">
      <c r="H844" s="110"/>
    </row>
    <row r="845" spans="8:8">
      <c r="H845" s="110"/>
    </row>
    <row r="846" spans="8:8">
      <c r="H846" s="110"/>
    </row>
    <row r="847" spans="8:8">
      <c r="H847" s="110"/>
    </row>
    <row r="848" spans="8:8">
      <c r="H848" s="110"/>
    </row>
    <row r="849" spans="8:8">
      <c r="H849" s="110"/>
    </row>
    <row r="850" spans="8:8">
      <c r="H850" s="110"/>
    </row>
    <row r="851" spans="8:8">
      <c r="H851" s="110"/>
    </row>
    <row r="852" spans="8:8">
      <c r="H852" s="110"/>
    </row>
    <row r="853" spans="8:8">
      <c r="H853" s="110"/>
    </row>
    <row r="854" spans="8:8">
      <c r="H854" s="110"/>
    </row>
    <row r="855" spans="8:8">
      <c r="H855" s="110"/>
    </row>
    <row r="856" spans="8:8">
      <c r="H856" s="110"/>
    </row>
    <row r="857" spans="8:8">
      <c r="H857" s="110"/>
    </row>
    <row r="858" spans="8:8">
      <c r="H858" s="110"/>
    </row>
    <row r="859" spans="8:8">
      <c r="H859" s="110"/>
    </row>
    <row r="860" spans="8:8">
      <c r="H860" s="110"/>
    </row>
    <row r="861" spans="8:8">
      <c r="H861" s="110"/>
    </row>
    <row r="862" spans="8:8">
      <c r="H862" s="110"/>
    </row>
    <row r="863" spans="8:8">
      <c r="H863" s="110"/>
    </row>
    <row r="864" spans="8:8">
      <c r="H864" s="110"/>
    </row>
    <row r="865" spans="8:8">
      <c r="H865" s="110"/>
    </row>
    <row r="866" spans="8:8">
      <c r="H866" s="110"/>
    </row>
    <row r="867" spans="8:8">
      <c r="H867" s="110"/>
    </row>
    <row r="868" spans="8:8">
      <c r="H868" s="110"/>
    </row>
    <row r="869" spans="8:8">
      <c r="H869" s="110"/>
    </row>
    <row r="870" spans="8:8">
      <c r="H870" s="110"/>
    </row>
    <row r="871" spans="8:8">
      <c r="H871" s="110"/>
    </row>
    <row r="872" spans="8:8">
      <c r="H872" s="110"/>
    </row>
    <row r="873" spans="8:8">
      <c r="H873" s="110"/>
    </row>
    <row r="874" spans="8:8">
      <c r="H874" s="110"/>
    </row>
    <row r="875" spans="8:8">
      <c r="H875" s="110"/>
    </row>
    <row r="876" spans="8:8">
      <c r="H876" s="110"/>
    </row>
    <row r="877" spans="8:8">
      <c r="H877" s="110"/>
    </row>
    <row r="878" spans="8:8">
      <c r="H878" s="110"/>
    </row>
    <row r="879" spans="8:8">
      <c r="H879" s="110"/>
    </row>
    <row r="880" spans="8:8">
      <c r="H880" s="110"/>
    </row>
    <row r="881" spans="8:8">
      <c r="H881" s="110"/>
    </row>
    <row r="882" spans="8:8">
      <c r="H882" s="110"/>
    </row>
    <row r="883" spans="8:8">
      <c r="H883" s="110"/>
    </row>
    <row r="884" spans="8:8">
      <c r="H884" s="110"/>
    </row>
    <row r="885" spans="8:8">
      <c r="H885" s="110"/>
    </row>
    <row r="886" spans="8:8">
      <c r="H886" s="110"/>
    </row>
    <row r="887" spans="8:8">
      <c r="H887" s="110"/>
    </row>
    <row r="888" spans="8:8">
      <c r="H888" s="110"/>
    </row>
    <row r="889" spans="8:8">
      <c r="H889" s="110"/>
    </row>
    <row r="890" spans="8:8">
      <c r="H890" s="110"/>
    </row>
    <row r="891" spans="8:8">
      <c r="H891" s="110"/>
    </row>
    <row r="892" spans="8:8">
      <c r="H892" s="110"/>
    </row>
    <row r="893" spans="8:8">
      <c r="H893" s="110"/>
    </row>
    <row r="894" spans="8:8">
      <c r="H894" s="110"/>
    </row>
    <row r="895" spans="8:8">
      <c r="H895" s="110"/>
    </row>
    <row r="896" spans="8:8">
      <c r="H896" s="110"/>
    </row>
    <row r="897" spans="8:8">
      <c r="H897" s="110"/>
    </row>
    <row r="898" spans="8:8">
      <c r="H898" s="110"/>
    </row>
    <row r="899" spans="8:8">
      <c r="H899" s="110"/>
    </row>
    <row r="900" spans="8:8">
      <c r="H900" s="110"/>
    </row>
    <row r="901" spans="8:8">
      <c r="H901" s="110"/>
    </row>
    <row r="902" spans="8:8">
      <c r="H902" s="110"/>
    </row>
    <row r="903" spans="8:8">
      <c r="H903" s="110"/>
    </row>
    <row r="904" spans="8:8">
      <c r="H904" s="110"/>
    </row>
    <row r="905" spans="8:8">
      <c r="H905" s="110"/>
    </row>
    <row r="906" spans="8:8">
      <c r="H906" s="110"/>
    </row>
    <row r="907" spans="8:8">
      <c r="H907" s="110"/>
    </row>
    <row r="908" spans="8:8">
      <c r="H908" s="110"/>
    </row>
    <row r="909" spans="8:8">
      <c r="H909" s="110"/>
    </row>
    <row r="910" spans="8:8">
      <c r="H910" s="110"/>
    </row>
    <row r="911" spans="8:8">
      <c r="H911" s="110"/>
    </row>
    <row r="912" spans="8:8">
      <c r="H912" s="110"/>
    </row>
    <row r="913" spans="8:8">
      <c r="H913" s="110"/>
    </row>
    <row r="914" spans="8:8">
      <c r="H914" s="110"/>
    </row>
    <row r="915" spans="8:8">
      <c r="H915" s="110"/>
    </row>
    <row r="916" spans="8:8">
      <c r="H916" s="110"/>
    </row>
    <row r="917" spans="8:8">
      <c r="H917" s="110"/>
    </row>
    <row r="918" spans="8:8">
      <c r="H918" s="110"/>
    </row>
    <row r="919" spans="8:8">
      <c r="H919" s="110"/>
    </row>
    <row r="920" spans="8:8">
      <c r="H920" s="110"/>
    </row>
    <row r="921" spans="8:8">
      <c r="H921" s="110"/>
    </row>
    <row r="922" spans="8:8">
      <c r="H922" s="110"/>
    </row>
    <row r="923" spans="8:8">
      <c r="H923" s="110"/>
    </row>
    <row r="924" spans="8:8">
      <c r="H924" s="110"/>
    </row>
    <row r="925" spans="8:8">
      <c r="H925" s="110"/>
    </row>
    <row r="926" spans="8:8">
      <c r="H926" s="110"/>
    </row>
    <row r="927" spans="8:8">
      <c r="H927" s="110"/>
    </row>
    <row r="928" spans="8:8">
      <c r="H928" s="110"/>
    </row>
    <row r="929" spans="8:8">
      <c r="H929" s="110"/>
    </row>
    <row r="930" spans="8:8">
      <c r="H930" s="110"/>
    </row>
    <row r="931" spans="8:8">
      <c r="H931" s="110"/>
    </row>
    <row r="932" spans="8:8">
      <c r="H932" s="110"/>
    </row>
    <row r="933" spans="8:8">
      <c r="H933" s="110"/>
    </row>
    <row r="934" spans="8:8">
      <c r="H934" s="110"/>
    </row>
    <row r="935" spans="8:8">
      <c r="H935" s="110"/>
    </row>
    <row r="936" spans="8:8">
      <c r="H936" s="110"/>
    </row>
    <row r="937" spans="8:8">
      <c r="H937" s="110"/>
    </row>
    <row r="938" spans="8:8">
      <c r="H938" s="110"/>
    </row>
    <row r="939" spans="8:8">
      <c r="H939" s="110"/>
    </row>
    <row r="940" spans="8:8">
      <c r="H940" s="110"/>
    </row>
    <row r="941" spans="8:8">
      <c r="H941" s="110"/>
    </row>
    <row r="942" spans="8:8">
      <c r="H942" s="110"/>
    </row>
    <row r="943" spans="8:8">
      <c r="H943" s="110"/>
    </row>
    <row r="944" spans="8:8">
      <c r="H944" s="110"/>
    </row>
    <row r="945" spans="8:8">
      <c r="H945" s="110"/>
    </row>
    <row r="946" spans="8:8">
      <c r="H946" s="110"/>
    </row>
    <row r="947" spans="8:8">
      <c r="H947" s="110"/>
    </row>
    <row r="948" spans="8:8">
      <c r="H948" s="110"/>
    </row>
    <row r="949" spans="8:8">
      <c r="H949" s="110"/>
    </row>
    <row r="950" spans="8:8">
      <c r="H950" s="110"/>
    </row>
    <row r="951" spans="8:8">
      <c r="H951" s="110"/>
    </row>
    <row r="952" spans="8:8">
      <c r="H952" s="110"/>
    </row>
    <row r="953" spans="8:8">
      <c r="H953" s="110"/>
    </row>
    <row r="954" spans="8:8">
      <c r="H954" s="110"/>
    </row>
    <row r="955" spans="8:8">
      <c r="H955" s="110"/>
    </row>
    <row r="956" spans="8:8">
      <c r="H956" s="110"/>
    </row>
    <row r="957" spans="8:8">
      <c r="H957" s="110"/>
    </row>
    <row r="958" spans="8:8">
      <c r="H958" s="110"/>
    </row>
    <row r="959" spans="8:8">
      <c r="H959" s="110"/>
    </row>
    <row r="960" spans="8:8">
      <c r="H960" s="110"/>
    </row>
    <row r="961" spans="8:8">
      <c r="H961" s="110"/>
    </row>
    <row r="962" spans="8:8">
      <c r="H962" s="110"/>
    </row>
    <row r="963" spans="8:8">
      <c r="H963" s="110"/>
    </row>
    <row r="964" spans="8:8">
      <c r="H964" s="110"/>
    </row>
    <row r="965" spans="8:8">
      <c r="H965" s="110"/>
    </row>
    <row r="966" spans="8:8">
      <c r="H966" s="110"/>
    </row>
  </sheetData>
  <mergeCells count="6">
    <mergeCell ref="B29:C29"/>
    <mergeCell ref="A1:M4"/>
    <mergeCell ref="B6:C6"/>
    <mergeCell ref="B7:E7"/>
    <mergeCell ref="G7:I7"/>
    <mergeCell ref="G8:I8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2025-08-13T23:10:49Z</dcterms:created>
  <dcterms:modified xsi:type="dcterms:W3CDTF">2025-08-13T23:10:49Z</dcterms:modified>
  <cp:category/>
  <cp:contentStatus/>
</cp:coreProperties>
</file>